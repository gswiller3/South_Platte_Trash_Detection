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ameras" sheetId="2" state="visible" r:id="rId4"/>
    <sheet name="By_Period" sheetId="3" state="visible" r:id="rId5"/>
    <sheet name="Comparison" sheetId="4" state="visible" r:id="rId6"/>
    <sheet name="Heatmap_Long" sheetId="5" state="visible" r:id="rId7"/>
    <sheet name="Daily" sheetId="6" state="visible" r:id="rId8"/>
    <sheet name="Validation" sheetId="7" state="visible" r:id="rId9"/>
    <sheet name="Detections" sheetId="8" state="visible" r:id="rId10"/>
  </sheets>
  <definedNames>
    <definedName function="false" hidden="true" localSheetId="7" name="_xlnm._FilterDatabase" vbProcedure="false">Detections!$A$1:$M$196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<sst xmlns="http://schemas.openxmlformats.org/spreadsheetml/2006/main" count="2269" uniqueCount="543">
  <si>
    <t xml:space="preserve">South Platte River Trash Source Study</t>
  </si>
  <si>
    <t xml:space="preserve">Field results workbook, built 2026-10-27 by build_field_workbook.py from 3 camera folders</t>
  </si>
  <si>
    <t xml:space="preserve">These are MEASURED counts from the bridge cameras, run through best_river.pt by process_camera.py.</t>
  </si>
  <si>
    <t xml:space="preserve">How it was built</t>
  </si>
  <si>
    <t xml:space="preserve">Every camera_XX folder under field_data was read. detections.csv gives one row per box with its timestamp and</t>
  </si>
  <si>
    <t xml:space="preserve">repeat type, plus one row per frame with no boxes and one row per night frame that was skipped.</t>
  </si>
  <si>
    <t xml:space="preserve">Frames were sorted into the three 14 day periods by date: P1 Sep 28 to Oct 11, P2 Oct 12 to Oct 25, P3 Oct 26 to Nov 8.</t>
  </si>
  <si>
    <t xml:space="preserve">The camera clocks were set a year behind, so any timestamp not in 2026 had its year rewritten. The Cameras sheet shows where that happened.</t>
  </si>
  <si>
    <t xml:space="preserve">New items = boxes tagged new by process_camera.py, which is the count after stationary and drift repeats are removed.</t>
  </si>
  <si>
    <t xml:space="preserve">Daylight hours covered = daylight frames processed x 10 s. This is the real coverage, not the 14 day period, so compare rates per hour.</t>
  </si>
  <si>
    <t xml:space="preserve">Predicted numbers on Comparison and Daily come from: South_Platte_Predicted_Trash_Dataset.xlsx</t>
  </si>
  <si>
    <t xml:space="preserve">Sheets</t>
  </si>
  <si>
    <t xml:space="preserve">Cameras: one row per camera, the summary.txt numbers plus coverage, rate per daylight hour and validation if scored.</t>
  </si>
  <si>
    <t xml:space="preserve">By_Period: camera by period, new items, frames, hours and rate. Same shape as Predicted_Counts in the predicted workbook.</t>
  </si>
  <si>
    <t xml:space="preserve">Comparison: predicted low, mid, high next to the observed count for every camera and period. Filled by the script.</t>
  </si>
  <si>
    <t xml:space="preserve">Heatmap_Long: one row per camera per period with lat, lon and weight. Load this into the heat map tool. Also saved as heatmap_observed_long.csv.</t>
  </si>
  <si>
    <t xml:space="preserve">Daily: one row per camera per day with frames, hours, new items, the predicted number and the gauge flow for that day.</t>
  </si>
  <si>
    <t xml:space="preserve">Validation: precision, miss rate and recall from score_review.py for every camera that has a scored review sheet.</t>
  </si>
  <si>
    <t xml:space="preserve">Detections: every box from every camera, 195 rows. Filter by repeat_type = new for the counted items.</t>
  </si>
  <si>
    <t xml:space="preserve">Reading the numbers</t>
  </si>
  <si>
    <t xml:space="preserve">Report New items, not Total boxes. Total boxes counts the same piece of trash every frame it sits in.</t>
  </si>
  <si>
    <t xml:space="preserve">A camera with no frames in a period shows blanks on Comparison, not zeros. Zero means the camera ran and saw nothing.</t>
  </si>
  <si>
    <t xml:space="preserve">Rates per daylight hour are the fair comparison between cameras, since no two cards cover the same hours.</t>
  </si>
  <si>
    <t xml:space="preserve">Validation precision is image level. New items x precision on the Cameras sheet is a rough corrected count, not a measured one.</t>
  </si>
  <si>
    <t xml:space="preserve">Rebuild this workbook after every card: python3 build_field_workbook.py</t>
  </si>
  <si>
    <t xml:space="preserve">Pin</t>
  </si>
  <si>
    <t xml:space="preserve">Bridge</t>
  </si>
  <si>
    <t xml:space="preserve">First frame</t>
  </si>
  <si>
    <t xml:space="preserve">Last frame</t>
  </si>
  <si>
    <t xml:space="preserve">Frames in file</t>
  </si>
  <si>
    <t xml:space="preserve">Night frames skipped</t>
  </si>
  <si>
    <t xml:space="preserve">Setup frames skipped</t>
  </si>
  <si>
    <t xml:space="preserve">Daylight frames processed</t>
  </si>
  <si>
    <t xml:space="preserve">Daylight hours covered</t>
  </si>
  <si>
    <t xml:space="preserve">Median gap between frames (s)</t>
  </si>
  <si>
    <t xml:space="preserve">Images with trash</t>
  </si>
  <si>
    <t xml:space="preserve">Total trash boxes</t>
  </si>
  <si>
    <t xml:space="preserve">Stationary repeats</t>
  </si>
  <si>
    <t xml:space="preserve">Drift repeats</t>
  </si>
  <si>
    <t xml:space="preserve">New items</t>
  </si>
  <si>
    <t xml:space="preserve">New items per daylight h</t>
  </si>
  <si>
    <t xml:space="preserve">Validated?</t>
  </si>
  <si>
    <t xml:space="preserve">Precision</t>
  </si>
  <si>
    <t xml:space="preserve">Recall</t>
  </si>
  <si>
    <t xml:space="preserve">New items x precision</t>
  </si>
  <si>
    <t xml:space="preserve">Clock year fixed?</t>
  </si>
  <si>
    <t xml:space="preserve">Conf</t>
  </si>
  <si>
    <t xml:space="preserve">Inference size</t>
  </si>
  <si>
    <t xml:space="preserve">Tiles</t>
  </si>
  <si>
    <t xml:space="preserve">Model</t>
  </si>
  <si>
    <t xml:space="preserve">Folder</t>
  </si>
  <si>
    <t xml:space="preserve">31st St (Arkins Ct, Denargo rail yards) or 38th St</t>
  </si>
  <si>
    <t xml:space="preserve">2026-09-25 07:00</t>
  </si>
  <si>
    <t xml:space="preserve">2026-09-27 07:08</t>
  </si>
  <si>
    <t xml:space="preserve">no</t>
  </si>
  <si>
    <t xml:space="preserve">yes, 150 timestamps</t>
  </si>
  <si>
    <t xml:space="preserve">best_river.pt</t>
  </si>
  <si>
    <t xml:space="preserve">field_data/camera_03</t>
  </si>
  <si>
    <t xml:space="preserve">W Colfax Ave (Auraria)</t>
  </si>
  <si>
    <t xml:space="preserve">2026-10-12 07:00</t>
  </si>
  <si>
    <t xml:space="preserve">2026-10-20 07:19</t>
  </si>
  <si>
    <t xml:space="preserve">field_data/camera_07</t>
  </si>
  <si>
    <t xml:space="preserve">W Mississippi Ave</t>
  </si>
  <si>
    <t xml:space="preserve">2026-09-29 07:00</t>
  </si>
  <si>
    <t xml:space="preserve">2026-10-20 07:49</t>
  </si>
  <si>
    <t xml:space="preserve">yes</t>
  </si>
  <si>
    <t xml:space="preserve">yes, 6623 timestamps</t>
  </si>
  <si>
    <t xml:space="preserve">field_data/camera_10</t>
  </si>
  <si>
    <t xml:space="preserve">Corridor total</t>
  </si>
  <si>
    <t xml:space="preserve">New items is the number to report. Daylight hours covered = daylight frames x 10 s. Median gap should be about 10 s; if it is much larger the camera was on motion trigger or dropped frames.</t>
  </si>
  <si>
    <t xml:space="preserve">Precision and recall come from score_review.py and are image level. New items x precision is a rough corrected count for the report, say so when you use it.</t>
  </si>
  <si>
    <t xml:space="preserve">Lat</t>
  </si>
  <si>
    <t xml:space="preserve">Lon</t>
  </si>
  <si>
    <t xml:space="preserve">P1 new items</t>
  </si>
  <si>
    <t xml:space="preserve">P2 new items</t>
  </si>
  <si>
    <t xml:space="preserve">P3 new items</t>
  </si>
  <si>
    <t xml:space="preserve">Total new items</t>
  </si>
  <si>
    <t xml:space="preserve">Outside window new items</t>
  </si>
  <si>
    <t xml:space="preserve">P1 daylight frames</t>
  </si>
  <si>
    <t xml:space="preserve">P2 daylight frames</t>
  </si>
  <si>
    <t xml:space="preserve">P3 daylight frames</t>
  </si>
  <si>
    <t xml:space="preserve">P1 daylight hours</t>
  </si>
  <si>
    <t xml:space="preserve">P2 daylight hours</t>
  </si>
  <si>
    <t xml:space="preserve">P3 daylight hours</t>
  </si>
  <si>
    <t xml:space="preserve">P1 items per daylight h</t>
  </si>
  <si>
    <t xml:space="preserve">P2 items per daylight h</t>
  </si>
  <si>
    <t xml:space="preserve">P3 items per daylight h</t>
  </si>
  <si>
    <t xml:space="preserve">P1 raw boxes</t>
  </si>
  <si>
    <t xml:space="preserve">P2 raw boxes</t>
  </si>
  <si>
    <t xml:space="preserve">P3 raw boxes</t>
  </si>
  <si>
    <t xml:space="preserve">P1 days with frames</t>
  </si>
  <si>
    <t xml:space="preserve">P2 days with frames</t>
  </si>
  <si>
    <t xml:space="preserve">P3 days with frames</t>
  </si>
  <si>
    <t xml:space="preserve">Blank = the camera has no daylight frames in that period. Outside window = frames dated before Sep 28 or after Nov 8 after the clock fix, check those are not setup frames.</t>
  </si>
  <si>
    <t xml:space="preserve">Period</t>
  </si>
  <si>
    <t xml:space="preserve">Predicted new items (mid)</t>
  </si>
  <si>
    <t xml:space="preserve">Predicted low</t>
  </si>
  <si>
    <t xml:space="preserve">Predicted high</t>
  </si>
  <si>
    <t xml:space="preserve">ACTUAL new items</t>
  </si>
  <si>
    <t xml:space="preserve">ACTUAL daylight frames processed</t>
  </si>
  <si>
    <t xml:space="preserve">ACTUAL daylight hours covered</t>
  </si>
  <si>
    <t xml:space="preserve">Predicted items per daylight h</t>
  </si>
  <si>
    <t xml:space="preserve">Actual items per daylight h</t>
  </si>
  <si>
    <t xml:space="preserve">Actual / Predicted</t>
  </si>
  <si>
    <t xml:space="preserve">Inside low to high?</t>
  </si>
  <si>
    <t xml:space="preserve">Notes</t>
  </si>
  <si>
    <t xml:space="preserve">York St (Commerce City, nearest to E 56th Ave)</t>
  </si>
  <si>
    <t xml:space="preserve">P1</t>
  </si>
  <si>
    <t xml:space="preserve">no card processed for this camera yet</t>
  </si>
  <si>
    <t xml:space="preserve">E 51st Ave / Bettie Cram Dr (National Western Center) or 47th Ave</t>
  </si>
  <si>
    <t xml:space="preserve">card has no daylight frames in this period</t>
  </si>
  <si>
    <t xml:space="preserve">19th St / 20th St (Commons Park north end)</t>
  </si>
  <si>
    <t xml:space="preserve">15th St (Confluence Park) or 16th St pedestrian bridge</t>
  </si>
  <si>
    <t xml:space="preserve">Speer Blvd</t>
  </si>
  <si>
    <t xml:space="preserve">W 8th Ave (Sun Valley, Frog Hollow Park) or US 6 (6th Ave)</t>
  </si>
  <si>
    <t xml:space="preserve">W Alameda Ave</t>
  </si>
  <si>
    <t xml:space="preserve">13 of 14 days have frames, partial coverage</t>
  </si>
  <si>
    <t xml:space="preserve">W Florida Ave (Ruby Hill Park) or W Evans Ave</t>
  </si>
  <si>
    <t xml:space="preserve">P2</t>
  </si>
  <si>
    <t xml:space="preserve">9 of 14 days have frames, partial coverage</t>
  </si>
  <si>
    <t xml:space="preserve">P3</t>
  </si>
  <si>
    <t xml:space="preserve">Green cells were filled by build_field_workbook.py from detections.csv. Predicted columns come from South_Platte_Predicted_Trash_Dataset.xlsx.</t>
  </si>
  <si>
    <t xml:space="preserve">Compare on items per daylight hour, because real coverage per site is not a full 14 days. Inside low to high compares the per hour rate to the scenario band. Period daylight: P1 159.3 h, P2 150.9 h, P3 143.1 h.</t>
  </si>
  <si>
    <t xml:space="preserve">site_id</t>
  </si>
  <si>
    <t xml:space="preserve">bridge</t>
  </si>
  <si>
    <t xml:space="preserve">lat</t>
  </si>
  <si>
    <t xml:space="preserve">lon</t>
  </si>
  <si>
    <t xml:space="preserve">period</t>
  </si>
  <si>
    <t xml:space="preserve">period_start</t>
  </si>
  <si>
    <t xml:space="preserve">period_end</t>
  </si>
  <si>
    <t xml:space="preserve">days_with_frames</t>
  </si>
  <si>
    <t xml:space="preserve">daylight_hours_covered</t>
  </si>
  <si>
    <t xml:space="preserve">observed_new_items</t>
  </si>
  <si>
    <t xml:space="preserve">items_per_daylight_h</t>
  </si>
  <si>
    <t xml:space="preserve">weight_0_to_1</t>
  </si>
  <si>
    <t xml:space="preserve">2026-09-28</t>
  </si>
  <si>
    <t xml:space="preserve">2026-10-11</t>
  </si>
  <si>
    <t xml:space="preserve">2026-10-12</t>
  </si>
  <si>
    <t xml:space="preserve">2026-10-25</t>
  </si>
  <si>
    <t xml:space="preserve">2026-10-26</t>
  </si>
  <si>
    <t xml:space="preserve">2026-11-08</t>
  </si>
  <si>
    <t xml:space="preserve">Long format for the heat map tool: lat, lon, weight. weight_0_to_1 is the per hour rate scaled to the busiest site period, so cameras with short coverage are not penalised. Blank rows have no data yet.</t>
  </si>
  <si>
    <t xml:space="preserve">date</t>
  </si>
  <si>
    <t xml:space="preserve">daylight_frames</t>
  </si>
  <si>
    <t xml:space="preserve">daylight_hours</t>
  </si>
  <si>
    <t xml:space="preserve">images_with_trash</t>
  </si>
  <si>
    <t xml:space="preserve">total_boxes</t>
  </si>
  <si>
    <t xml:space="preserve">stationary</t>
  </si>
  <si>
    <t xml:space="preserve">drift</t>
  </si>
  <si>
    <t xml:space="preserve">new_items</t>
  </si>
  <si>
    <t xml:space="preserve">new_per_daylight_h</t>
  </si>
  <si>
    <t xml:space="preserve">predicted_new_items</t>
  </si>
  <si>
    <t xml:space="preserve">flow_cfs</t>
  </si>
  <si>
    <t xml:space="preserve">2026-09-25</t>
  </si>
  <si>
    <t xml:space="preserve">outside</t>
  </si>
  <si>
    <t xml:space="preserve">2026-09-26</t>
  </si>
  <si>
    <t xml:space="preserve">2026-09-27</t>
  </si>
  <si>
    <t xml:space="preserve">2026-10-13</t>
  </si>
  <si>
    <t xml:space="preserve">2026-10-14</t>
  </si>
  <si>
    <t xml:space="preserve">2026-10-15</t>
  </si>
  <si>
    <t xml:space="preserve">2026-10-16</t>
  </si>
  <si>
    <t xml:space="preserve">2026-10-17</t>
  </si>
  <si>
    <t xml:space="preserve">2026-10-18</t>
  </si>
  <si>
    <t xml:space="preserve">2026-10-19</t>
  </si>
  <si>
    <t xml:space="preserve">2026-10-20</t>
  </si>
  <si>
    <t xml:space="preserve">2026-09-29</t>
  </si>
  <si>
    <t xml:space="preserve">2026-09-30</t>
  </si>
  <si>
    <t xml:space="preserve">2026-10-01</t>
  </si>
  <si>
    <t xml:space="preserve">2026-10-02</t>
  </si>
  <si>
    <t xml:space="preserve">2026-10-03</t>
  </si>
  <si>
    <t xml:space="preserve">2026-10-04</t>
  </si>
  <si>
    <t xml:space="preserve">2026-10-05</t>
  </si>
  <si>
    <t xml:space="preserve">2026-10-06</t>
  </si>
  <si>
    <t xml:space="preserve">2026-10-07</t>
  </si>
  <si>
    <t xml:space="preserve">2026-10-08</t>
  </si>
  <si>
    <t xml:space="preserve">2026-10-09</t>
  </si>
  <si>
    <t xml:space="preserve">2026-10-10</t>
  </si>
  <si>
    <t xml:space="preserve">One row per camera per day. predicted_new_items and flow_cfs come from heatmap_daily_long.csv next to the predicted workbook, blank if that file was not found.</t>
  </si>
  <si>
    <t xml:space="preserve">Positives reviewed</t>
  </si>
  <si>
    <t xml:space="preserve">Confirmed trash</t>
  </si>
  <si>
    <t xml:space="preserve">False alarms</t>
  </si>
  <si>
    <t xml:space="preserve">Precision CI low</t>
  </si>
  <si>
    <t xml:space="preserve">Precision CI high</t>
  </si>
  <si>
    <t xml:space="preserve">Negatives reviewed</t>
  </si>
  <si>
    <t xml:space="preserve">Trash the model missed</t>
  </si>
  <si>
    <t xml:space="preserve">Miss rate</t>
  </si>
  <si>
    <t xml:space="preserve">Miss rate CI low</t>
  </si>
  <si>
    <t xml:space="preserve">Miss rate CI high</t>
  </si>
  <si>
    <t xml:space="preserve">Recall CI low</t>
  </si>
  <si>
    <t xml:space="preserve">Recall CI high</t>
  </si>
  <si>
    <t xml:space="preserve">From review/validation_result.txt written by score_review.py. Wilson 95 percent intervals. Fifty per stratum is about plus or minus 14 points.</t>
  </si>
  <si>
    <t xml:space="preserve">camera_id</t>
  </si>
  <si>
    <t xml:space="preserve">filename</t>
  </si>
  <si>
    <t xml:space="preserve">timestamp</t>
  </si>
  <si>
    <t xml:space="preserve">box_index</t>
  </si>
  <si>
    <t xml:space="preserve">x1</t>
  </si>
  <si>
    <t xml:space="preserve">y1</t>
  </si>
  <si>
    <t xml:space="preserve">x2</t>
  </si>
  <si>
    <t xml:space="preserve">y2</t>
  </si>
  <si>
    <t xml:space="preserve">confidence</t>
  </si>
  <si>
    <t xml:space="preserve">repeat_type</t>
  </si>
  <si>
    <t xml:space="preserve">is_new</t>
  </si>
  <si>
    <t xml:space="preserve">IMAG0012.JPG</t>
  </si>
  <si>
    <t xml:space="preserve">2026-09-25 07:01:50</t>
  </si>
  <si>
    <t xml:space="preserve">100</t>
  </si>
  <si>
    <t xml:space="preserve">200</t>
  </si>
  <si>
    <t xml:space="preserve">180</t>
  </si>
  <si>
    <t xml:space="preserve">260</t>
  </si>
  <si>
    <t xml:space="preserve">new</t>
  </si>
  <si>
    <t xml:space="preserve">IMAG0021.JPG</t>
  </si>
  <si>
    <t xml:space="preserve">2026-09-25 07:03:20</t>
  </si>
  <si>
    <t xml:space="preserve">IMAG0116.JPG</t>
  </si>
  <si>
    <t xml:space="preserve">2026-09-27 07:02:30</t>
  </si>
  <si>
    <t xml:space="preserve">IMAG0134.JPG</t>
  </si>
  <si>
    <t xml:space="preserve">2026-09-27 07:05:30</t>
  </si>
  <si>
    <t xml:space="preserve">IMAG0025.JPG</t>
  </si>
  <si>
    <t xml:space="preserve">2026-10-12 07:04:00</t>
  </si>
  <si>
    <t xml:space="preserve">IMAG0056.JPG</t>
  </si>
  <si>
    <t xml:space="preserve">2026-10-12 07:09:10</t>
  </si>
  <si>
    <t xml:space="preserve">IMAG0098.JPG</t>
  </si>
  <si>
    <t xml:space="preserve">2026-10-12 07:16:10</t>
  </si>
  <si>
    <t xml:space="preserve">IMAG0142.JPG</t>
  </si>
  <si>
    <t xml:space="preserve">2026-10-13 07:03:30</t>
  </si>
  <si>
    <t xml:space="preserve">IMAG0194.JPG</t>
  </si>
  <si>
    <t xml:space="preserve">2026-10-13 07:12:10</t>
  </si>
  <si>
    <t xml:space="preserve">IMAG0198.JPG</t>
  </si>
  <si>
    <t xml:space="preserve">2026-10-13 07:12:50</t>
  </si>
  <si>
    <t xml:space="preserve">IMAG0227.JPG</t>
  </si>
  <si>
    <t xml:space="preserve">2026-10-13 07:17:40</t>
  </si>
  <si>
    <t xml:space="preserve">IMAG0235.JPG</t>
  </si>
  <si>
    <t xml:space="preserve">2026-10-13 07:19:00</t>
  </si>
  <si>
    <t xml:space="preserve">IMAG0243.JPG</t>
  </si>
  <si>
    <t xml:space="preserve">2026-10-14 07:00:20</t>
  </si>
  <si>
    <t xml:space="preserve">IMAG0254.JPG</t>
  </si>
  <si>
    <t xml:space="preserve">2026-10-14 07:02:10</t>
  </si>
  <si>
    <t xml:space="preserve">IMAG0263.JPG</t>
  </si>
  <si>
    <t xml:space="preserve">2026-10-14 07:03:40</t>
  </si>
  <si>
    <t xml:space="preserve">IMAG0293.JPG</t>
  </si>
  <si>
    <t xml:space="preserve">2026-10-14 07:08:40</t>
  </si>
  <si>
    <t xml:space="preserve">IMAG0315.JPG</t>
  </si>
  <si>
    <t xml:space="preserve">2026-10-14 07:12:20</t>
  </si>
  <si>
    <t xml:space="preserve">IMAG0324.JPG</t>
  </si>
  <si>
    <t xml:space="preserve">2026-10-14 07:13:50</t>
  </si>
  <si>
    <t xml:space="preserve">IMAG0345.JPG</t>
  </si>
  <si>
    <t xml:space="preserve">2026-10-14 07:17:20</t>
  </si>
  <si>
    <t xml:space="preserve">IMAG0351.JPG</t>
  </si>
  <si>
    <t xml:space="preserve">2026-10-14 07:18:20</t>
  </si>
  <si>
    <t xml:space="preserve">150</t>
  </si>
  <si>
    <t xml:space="preserve">230</t>
  </si>
  <si>
    <t xml:space="preserve">IMAG0364.JPG</t>
  </si>
  <si>
    <t xml:space="preserve">2026-10-15 07:00:30</t>
  </si>
  <si>
    <t xml:space="preserve">IMAG0376.JPG</t>
  </si>
  <si>
    <t xml:space="preserve">2026-10-15 07:02:30</t>
  </si>
  <si>
    <t xml:space="preserve">IMAG0408.JPG</t>
  </si>
  <si>
    <t xml:space="preserve">2026-10-15 07:07:50</t>
  </si>
  <si>
    <t xml:space="preserve">IMAG0411.JPG</t>
  </si>
  <si>
    <t xml:space="preserve">2026-10-15 07:08:20</t>
  </si>
  <si>
    <t xml:space="preserve">IMAG0413.JPG</t>
  </si>
  <si>
    <t xml:space="preserve">2026-10-15 07:08:40</t>
  </si>
  <si>
    <t xml:space="preserve">IMAG0456.JPG</t>
  </si>
  <si>
    <t xml:space="preserve">2026-10-15 07:15:50</t>
  </si>
  <si>
    <t xml:space="preserve">IMAG0474.JPG</t>
  </si>
  <si>
    <t xml:space="preserve">2026-10-15 07:18:50</t>
  </si>
  <si>
    <t xml:space="preserve">IMAG0478.JPG</t>
  </si>
  <si>
    <t xml:space="preserve">2026-10-15 07:19:30</t>
  </si>
  <si>
    <t xml:space="preserve">IMAG0497.JPG</t>
  </si>
  <si>
    <t xml:space="preserve">2026-10-16 07:02:40</t>
  </si>
  <si>
    <t xml:space="preserve">IMAG0521.JPG</t>
  </si>
  <si>
    <t xml:space="preserve">2026-10-16 07:06:40</t>
  </si>
  <si>
    <t xml:space="preserve">IMAG0532.JPG</t>
  </si>
  <si>
    <t xml:space="preserve">2026-10-16 07:08:30</t>
  </si>
  <si>
    <t xml:space="preserve">IMAG0547.JPG</t>
  </si>
  <si>
    <t xml:space="preserve">2026-10-16 07:11:00</t>
  </si>
  <si>
    <t xml:space="preserve">IMAG0627.JPG</t>
  </si>
  <si>
    <t xml:space="preserve">2026-10-17 07:04:20</t>
  </si>
  <si>
    <t xml:space="preserve">IMAG0661.JPG</t>
  </si>
  <si>
    <t xml:space="preserve">2026-10-17 07:10:00</t>
  </si>
  <si>
    <t xml:space="preserve">IMAG0676.JPG</t>
  </si>
  <si>
    <t xml:space="preserve">2026-10-17 07:12:30</t>
  </si>
  <si>
    <t xml:space="preserve">IMAG0743.JPG</t>
  </si>
  <si>
    <t xml:space="preserve">2026-10-18 07:03:40</t>
  </si>
  <si>
    <t xml:space="preserve">IMAG0745.JPG</t>
  </si>
  <si>
    <t xml:space="preserve">2026-10-18 07:04:00</t>
  </si>
  <si>
    <t xml:space="preserve">IMAG0751.JPG</t>
  </si>
  <si>
    <t xml:space="preserve">2026-10-18 07:05:00</t>
  </si>
  <si>
    <t xml:space="preserve">IMAG0761.JPG</t>
  </si>
  <si>
    <t xml:space="preserve">2026-10-18 07:06:40</t>
  </si>
  <si>
    <t xml:space="preserve">IMAG0796.JPG</t>
  </si>
  <si>
    <t xml:space="preserve">2026-10-18 07:12:30</t>
  </si>
  <si>
    <t xml:space="preserve">IMAG0836.JPG</t>
  </si>
  <si>
    <t xml:space="preserve">2026-10-18 07:19:10</t>
  </si>
  <si>
    <t xml:space="preserve">IMAG0848.JPG</t>
  </si>
  <si>
    <t xml:space="preserve">2026-10-19 07:01:10</t>
  </si>
  <si>
    <t xml:space="preserve">IMAG0851.JPG</t>
  </si>
  <si>
    <t xml:space="preserve">2026-10-19 07:01:40</t>
  </si>
  <si>
    <t xml:space="preserve">IMAG0860.JPG</t>
  </si>
  <si>
    <t xml:space="preserve">2026-10-19 07:03:10</t>
  </si>
  <si>
    <t xml:space="preserve">IMAG0874.JPG</t>
  </si>
  <si>
    <t xml:space="preserve">2026-10-19 07:05:30</t>
  </si>
  <si>
    <t xml:space="preserve">IMAG0958.JPG</t>
  </si>
  <si>
    <t xml:space="preserve">2026-10-19 07:19:30</t>
  </si>
  <si>
    <t xml:space="preserve">IMAG0965.JPG</t>
  </si>
  <si>
    <t xml:space="preserve">2026-10-20 07:00:40</t>
  </si>
  <si>
    <t xml:space="preserve">IMAG0967.JPG</t>
  </si>
  <si>
    <t xml:space="preserve">2026-10-20 07:01:00</t>
  </si>
  <si>
    <t xml:space="preserve">IMAG1003.JPG</t>
  </si>
  <si>
    <t xml:space="preserve">2026-10-20 07:07:00</t>
  </si>
  <si>
    <t xml:space="preserve">IMAG1012.JPG</t>
  </si>
  <si>
    <t xml:space="preserve">2026-10-20 07:08:30</t>
  </si>
  <si>
    <t xml:space="preserve">IMAG1017.JPG</t>
  </si>
  <si>
    <t xml:space="preserve">2026-10-20 07:09:20</t>
  </si>
  <si>
    <t xml:space="preserve">IMAG1024.JPG</t>
  </si>
  <si>
    <t xml:space="preserve">2026-10-20 07:10:30</t>
  </si>
  <si>
    <t xml:space="preserve">IMAG1025.JPG</t>
  </si>
  <si>
    <t xml:space="preserve">2026-10-20 07:10:40</t>
  </si>
  <si>
    <t xml:space="preserve">IMAG0014.JPG</t>
  </si>
  <si>
    <t xml:space="preserve">2026-09-29 07:02:10</t>
  </si>
  <si>
    <t xml:space="preserve">IMAG0019.JPG</t>
  </si>
  <si>
    <t xml:space="preserve">2026-09-29 07:03:00</t>
  </si>
  <si>
    <t xml:space="preserve">IMAG0075.JPG</t>
  </si>
  <si>
    <t xml:space="preserve">2026-09-29 07:12:20</t>
  </si>
  <si>
    <t xml:space="preserve">IMAG0082.JPG</t>
  </si>
  <si>
    <t xml:space="preserve">2026-09-29 07:13:30</t>
  </si>
  <si>
    <t xml:space="preserve">IMAG0109.JPG</t>
  </si>
  <si>
    <t xml:space="preserve">2026-09-29 07:18:00</t>
  </si>
  <si>
    <t xml:space="preserve">IMAG0182.JPG</t>
  </si>
  <si>
    <t xml:space="preserve">2026-09-29 07:30:10</t>
  </si>
  <si>
    <t xml:space="preserve">IMAG0183.JPG</t>
  </si>
  <si>
    <t xml:space="preserve">2026-09-29 07:30:20</t>
  </si>
  <si>
    <t xml:space="preserve">IMAG0237.JPG</t>
  </si>
  <si>
    <t xml:space="preserve">2026-09-29 07:39:20</t>
  </si>
  <si>
    <t xml:space="preserve">IMAG0304.JPG</t>
  </si>
  <si>
    <t xml:space="preserve">2026-09-30 07:00:30</t>
  </si>
  <si>
    <t xml:space="preserve">IMAG0362.JPG</t>
  </si>
  <si>
    <t xml:space="preserve">2026-09-30 07:10:10</t>
  </si>
  <si>
    <t xml:space="preserve">IMAG0465.JPG</t>
  </si>
  <si>
    <t xml:space="preserve">2026-09-30 07:27:20</t>
  </si>
  <si>
    <t xml:space="preserve">IMAG0523.JPG</t>
  </si>
  <si>
    <t xml:space="preserve">2026-09-30 07:37:00</t>
  </si>
  <si>
    <t xml:space="preserve">IMAG0535.JPG</t>
  </si>
  <si>
    <t xml:space="preserve">2026-09-30 07:39:00</t>
  </si>
  <si>
    <t xml:space="preserve">IMAG0638.JPG</t>
  </si>
  <si>
    <t xml:space="preserve">2026-10-01 07:06:10</t>
  </si>
  <si>
    <t xml:space="preserve">IMAG0834.JPG</t>
  </si>
  <si>
    <t xml:space="preserve">2026-10-01 07:38:50</t>
  </si>
  <si>
    <t xml:space="preserve">IMAG0875.JPG</t>
  </si>
  <si>
    <t xml:space="preserve">2026-10-01 07:45:40</t>
  </si>
  <si>
    <t xml:space="preserve">IMAG0946.JPG</t>
  </si>
  <si>
    <t xml:space="preserve">2026-10-02 07:07:30</t>
  </si>
  <si>
    <t xml:space="preserve">IMAG1001.JPG</t>
  </si>
  <si>
    <t xml:space="preserve">2026-10-02 07:16:40</t>
  </si>
  <si>
    <t xml:space="preserve">IMAG1091.JPG</t>
  </si>
  <si>
    <t xml:space="preserve">2026-10-02 07:31:40</t>
  </si>
  <si>
    <t xml:space="preserve">IMAG1106.JPG</t>
  </si>
  <si>
    <t xml:space="preserve">2026-10-02 07:34:10</t>
  </si>
  <si>
    <t xml:space="preserve">IMAG1168.JPG</t>
  </si>
  <si>
    <t xml:space="preserve">2026-10-02 07:44:30</t>
  </si>
  <si>
    <t xml:space="preserve">IMAG1249.JPG</t>
  </si>
  <si>
    <t xml:space="preserve">2026-10-03 07:08:00</t>
  </si>
  <si>
    <t xml:space="preserve">IMAG1335.JPG</t>
  </si>
  <si>
    <t xml:space="preserve">2026-10-03 07:22:20</t>
  </si>
  <si>
    <t xml:space="preserve">IMAG1396.JPG</t>
  </si>
  <si>
    <t xml:space="preserve">2026-10-03 07:32:30</t>
  </si>
  <si>
    <t xml:space="preserve">IMAG1479.JPG</t>
  </si>
  <si>
    <t xml:space="preserve">2026-10-03 07:46:20</t>
  </si>
  <si>
    <t xml:space="preserve">IMAG1482.JPG</t>
  </si>
  <si>
    <t xml:space="preserve">2026-10-03 07:46:50</t>
  </si>
  <si>
    <t xml:space="preserve">IMAG1530.JPG</t>
  </si>
  <si>
    <t xml:space="preserve">2026-10-04 07:04:50</t>
  </si>
  <si>
    <t xml:space="preserve">IMAG1835.JPG</t>
  </si>
  <si>
    <t xml:space="preserve">2026-10-05 07:05:40</t>
  </si>
  <si>
    <t xml:space="preserve">IMAG2036.JPG</t>
  </si>
  <si>
    <t xml:space="preserve">2026-10-05 07:39:10</t>
  </si>
  <si>
    <t xml:space="preserve">IMAG2098.JPG</t>
  </si>
  <si>
    <t xml:space="preserve">2026-10-05 07:49:30</t>
  </si>
  <si>
    <t xml:space="preserve">IMAG2185.JPG</t>
  </si>
  <si>
    <t xml:space="preserve">2026-10-06 07:14:00</t>
  </si>
  <si>
    <t xml:space="preserve">IMAG2217.JPG</t>
  </si>
  <si>
    <t xml:space="preserve">2026-10-06 07:19:20</t>
  </si>
  <si>
    <t xml:space="preserve">IMAG2241.JPG</t>
  </si>
  <si>
    <t xml:space="preserve">2026-10-06 07:23:20</t>
  </si>
  <si>
    <t xml:space="preserve">IMAG2308.JPG</t>
  </si>
  <si>
    <t xml:space="preserve">2026-10-06 07:34:30</t>
  </si>
  <si>
    <t xml:space="preserve">IMAG2406.JPG</t>
  </si>
  <si>
    <t xml:space="preserve">2026-10-07 07:00:50</t>
  </si>
  <si>
    <t xml:space="preserve">IMAG2435.JPG</t>
  </si>
  <si>
    <t xml:space="preserve">2026-10-07 07:05:40</t>
  </si>
  <si>
    <t xml:space="preserve">IMAG2437.JPG</t>
  </si>
  <si>
    <t xml:space="preserve">2026-10-07 07:06:00</t>
  </si>
  <si>
    <t xml:space="preserve">IMAG2443.JPG</t>
  </si>
  <si>
    <t xml:space="preserve">2026-10-07 07:07:00</t>
  </si>
  <si>
    <t xml:space="preserve">IMAG2462.JPG</t>
  </si>
  <si>
    <t xml:space="preserve">2026-10-07 07:10:10</t>
  </si>
  <si>
    <t xml:space="preserve">IMAG2466.JPG</t>
  </si>
  <si>
    <t xml:space="preserve">2026-10-07 07:10:50</t>
  </si>
  <si>
    <t xml:space="preserve">IMAG2761.JPG</t>
  </si>
  <si>
    <t xml:space="preserve">2026-10-08 07:10:00</t>
  </si>
  <si>
    <t xml:space="preserve">IMAG2777.JPG</t>
  </si>
  <si>
    <t xml:space="preserve">2026-10-08 07:12:40</t>
  </si>
  <si>
    <t xml:space="preserve">IMAG2819.JPG</t>
  </si>
  <si>
    <t xml:space="preserve">2026-10-08 07:19:40</t>
  </si>
  <si>
    <t xml:space="preserve">IMAG2852.JPG</t>
  </si>
  <si>
    <t xml:space="preserve">2026-10-08 07:25:10</t>
  </si>
  <si>
    <t xml:space="preserve">IMAG2853.JPG</t>
  </si>
  <si>
    <t xml:space="preserve">2026-10-08 07:25:20</t>
  </si>
  <si>
    <t xml:space="preserve">IMAG2880.JPG</t>
  </si>
  <si>
    <t xml:space="preserve">2026-10-08 07:29:50</t>
  </si>
  <si>
    <t xml:space="preserve">IMAG2921.JPG</t>
  </si>
  <si>
    <t xml:space="preserve">2026-10-08 07:36:40</t>
  </si>
  <si>
    <t xml:space="preserve">IMAG2929.JPG</t>
  </si>
  <si>
    <t xml:space="preserve">2026-10-08 07:38:00</t>
  </si>
  <si>
    <t xml:space="preserve">IMAG2955.JPG</t>
  </si>
  <si>
    <t xml:space="preserve">2026-10-08 07:42:20</t>
  </si>
  <si>
    <t xml:space="preserve">IMAG3005.JPG</t>
  </si>
  <si>
    <t xml:space="preserve">2026-10-09 07:00:40</t>
  </si>
  <si>
    <t xml:space="preserve">IMAG3049.JPG</t>
  </si>
  <si>
    <t xml:space="preserve">2026-10-09 07:08:00</t>
  </si>
  <si>
    <t xml:space="preserve">IMAG3059.JPG</t>
  </si>
  <si>
    <t xml:space="preserve">2026-10-09 07:09:40</t>
  </si>
  <si>
    <t xml:space="preserve">IMAG3184.JPG</t>
  </si>
  <si>
    <t xml:space="preserve">2026-10-09 07:30:30</t>
  </si>
  <si>
    <t xml:space="preserve">IMAG3263.JPG</t>
  </si>
  <si>
    <t xml:space="preserve">2026-10-09 07:43:40</t>
  </si>
  <si>
    <t xml:space="preserve">IMAG3320.JPG</t>
  </si>
  <si>
    <t xml:space="preserve">2026-10-10 07:03:10</t>
  </si>
  <si>
    <t xml:space="preserve">IMAG3342.JPG</t>
  </si>
  <si>
    <t xml:space="preserve">2026-10-10 07:06:50</t>
  </si>
  <si>
    <t xml:space="preserve">IMAG3351.JPG</t>
  </si>
  <si>
    <t xml:space="preserve">2026-10-10 07:08:20</t>
  </si>
  <si>
    <t xml:space="preserve">IMAG3371.JPG</t>
  </si>
  <si>
    <t xml:space="preserve">2026-10-10 07:11:40</t>
  </si>
  <si>
    <t xml:space="preserve">IMAG3396.JPG</t>
  </si>
  <si>
    <t xml:space="preserve">2026-10-10 07:15:50</t>
  </si>
  <si>
    <t xml:space="preserve">IMAG3411.JPG</t>
  </si>
  <si>
    <t xml:space="preserve">2026-10-10 07:18:20</t>
  </si>
  <si>
    <t xml:space="preserve">IMAG3571.JPG</t>
  </si>
  <si>
    <t xml:space="preserve">2026-10-10 07:45:00</t>
  </si>
  <si>
    <t xml:space="preserve">IMAG3642.JPG</t>
  </si>
  <si>
    <t xml:space="preserve">2026-10-11 07:06:50</t>
  </si>
  <si>
    <t xml:space="preserve">IMAG3678.JPG</t>
  </si>
  <si>
    <t xml:space="preserve">2026-10-11 07:12:50</t>
  </si>
  <si>
    <t xml:space="preserve">IMAG3688.JPG</t>
  </si>
  <si>
    <t xml:space="preserve">2026-10-11 07:14:30</t>
  </si>
  <si>
    <t xml:space="preserve">IMAG3843.JPG</t>
  </si>
  <si>
    <t xml:space="preserve">2026-10-11 07:40:20</t>
  </si>
  <si>
    <t xml:space="preserve">IMAG3906.JPG</t>
  </si>
  <si>
    <t xml:space="preserve">2026-10-12 07:00:50</t>
  </si>
  <si>
    <t xml:space="preserve">IMAG3952.JPG</t>
  </si>
  <si>
    <t xml:space="preserve">2026-10-12 07:08:30</t>
  </si>
  <si>
    <t xml:space="preserve">IMAG4025.JPG</t>
  </si>
  <si>
    <t xml:space="preserve">2026-10-12 07:20:40</t>
  </si>
  <si>
    <t xml:space="preserve">IMAG4071.JPG</t>
  </si>
  <si>
    <t xml:space="preserve">2026-10-12 07:28:20</t>
  </si>
  <si>
    <t xml:space="preserve">IMAG4128.JPG</t>
  </si>
  <si>
    <t xml:space="preserve">2026-10-12 07:37:50</t>
  </si>
  <si>
    <t xml:space="preserve">IMAG4208.JPG</t>
  </si>
  <si>
    <t xml:space="preserve">2026-10-13 07:01:10</t>
  </si>
  <si>
    <t xml:space="preserve">IMAG4475.JPG</t>
  </si>
  <si>
    <t xml:space="preserve">2026-10-13 07:45:40</t>
  </si>
  <si>
    <t xml:space="preserve">IMAG4535.JPG</t>
  </si>
  <si>
    <t xml:space="preserve">2026-10-14 07:05:40</t>
  </si>
  <si>
    <t xml:space="preserve">IMAG4542.JPG</t>
  </si>
  <si>
    <t xml:space="preserve">2026-10-14 07:06:50</t>
  </si>
  <si>
    <t xml:space="preserve">IMAG4653.JPG</t>
  </si>
  <si>
    <t xml:space="preserve">2026-10-14 07:25:20</t>
  </si>
  <si>
    <t xml:space="preserve">IMAG4690.JPG</t>
  </si>
  <si>
    <t xml:space="preserve">2026-10-14 07:31:30</t>
  </si>
  <si>
    <t xml:space="preserve">IMAG4691.JPG</t>
  </si>
  <si>
    <t xml:space="preserve">2026-10-14 07:31:40</t>
  </si>
  <si>
    <t xml:space="preserve">IMAG4701.JPG</t>
  </si>
  <si>
    <t xml:space="preserve">2026-10-14 07:33:20</t>
  </si>
  <si>
    <t xml:space="preserve">IMAG4857.JPG</t>
  </si>
  <si>
    <t xml:space="preserve">2026-10-15 07:09:20</t>
  </si>
  <si>
    <t xml:space="preserve">IMAG4957.JPG</t>
  </si>
  <si>
    <t xml:space="preserve">2026-10-15 07:26:00</t>
  </si>
  <si>
    <t xml:space="preserve">IMAG5039.JPG</t>
  </si>
  <si>
    <t xml:space="preserve">2026-10-15 07:39:40</t>
  </si>
  <si>
    <t xml:space="preserve">IMAG5045.JPG</t>
  </si>
  <si>
    <t xml:space="preserve">2026-10-15 07:40:40</t>
  </si>
  <si>
    <t xml:space="preserve">IMAG5055.JPG</t>
  </si>
  <si>
    <t xml:space="preserve">2026-10-15 07:42:20</t>
  </si>
  <si>
    <t xml:space="preserve">IMAG5166.JPG</t>
  </si>
  <si>
    <t xml:space="preserve">2026-10-16 07:10:50</t>
  </si>
  <si>
    <t xml:space="preserve">IMAG5178.JPG</t>
  </si>
  <si>
    <t xml:space="preserve">2026-10-16 07:12:50</t>
  </si>
  <si>
    <t xml:space="preserve">IMAG5248.JPG</t>
  </si>
  <si>
    <t xml:space="preserve">2026-10-16 07:24:30</t>
  </si>
  <si>
    <t xml:space="preserve">IMAG5249.JPG</t>
  </si>
  <si>
    <t xml:space="preserve">2026-10-16 07:24:40</t>
  </si>
  <si>
    <t xml:space="preserve">IMAG5288.JPG</t>
  </si>
  <si>
    <t xml:space="preserve">2026-10-16 07:31:10</t>
  </si>
  <si>
    <t xml:space="preserve">IMAG5454.JPG</t>
  </si>
  <si>
    <t xml:space="preserve">2026-10-17 07:08:50</t>
  </si>
  <si>
    <t xml:space="preserve">IMAG5493.JPG</t>
  </si>
  <si>
    <t xml:space="preserve">2026-10-17 07:15:20</t>
  </si>
  <si>
    <t xml:space="preserve">IMAG5557.JPG</t>
  </si>
  <si>
    <t xml:space="preserve">2026-10-17 07:26:00</t>
  </si>
  <si>
    <t xml:space="preserve">IMAG5613.JPG</t>
  </si>
  <si>
    <t xml:space="preserve">2026-10-17 07:35:20</t>
  </si>
  <si>
    <t xml:space="preserve">IMAG5626.JPG</t>
  </si>
  <si>
    <t xml:space="preserve">2026-10-17 07:37:30</t>
  </si>
  <si>
    <t xml:space="preserve">IMAG5710.JPG</t>
  </si>
  <si>
    <t xml:space="preserve">2026-10-18 07:01:30</t>
  </si>
  <si>
    <t xml:space="preserve">IMAG5745.JPG</t>
  </si>
  <si>
    <t xml:space="preserve">2026-10-18 07:07:20</t>
  </si>
  <si>
    <t xml:space="preserve">IMAG5769.JPG</t>
  </si>
  <si>
    <t xml:space="preserve">2026-10-18 07:11:20</t>
  </si>
  <si>
    <t xml:space="preserve">IMAG5825.JPG</t>
  </si>
  <si>
    <t xml:space="preserve">2026-10-18 07:20:40</t>
  </si>
  <si>
    <t xml:space="preserve">IMAG5845.JPG</t>
  </si>
  <si>
    <t xml:space="preserve">2026-10-18 07:24:00</t>
  </si>
  <si>
    <t xml:space="preserve">IMAG5854.JPG</t>
  </si>
  <si>
    <t xml:space="preserve">2026-10-18 07:25:30</t>
  </si>
  <si>
    <t xml:space="preserve">IMAG5910.JPG</t>
  </si>
  <si>
    <t xml:space="preserve">2026-10-18 07:34:50</t>
  </si>
  <si>
    <t xml:space="preserve">IMAG5915.JPG</t>
  </si>
  <si>
    <t xml:space="preserve">2026-10-18 07:35:40</t>
  </si>
  <si>
    <t xml:space="preserve">IMAG5992.JPG</t>
  </si>
  <si>
    <t xml:space="preserve">2026-10-18 07:48:30</t>
  </si>
  <si>
    <t xml:space="preserve">IMAG6076.JPG</t>
  </si>
  <si>
    <t xml:space="preserve">2026-10-19 07:12:30</t>
  </si>
  <si>
    <t xml:space="preserve">IMAG6157.JPG</t>
  </si>
  <si>
    <t xml:space="preserve">2026-10-19 07:26:00</t>
  </si>
  <si>
    <t xml:space="preserve">IMAG6187.JPG</t>
  </si>
  <si>
    <t xml:space="preserve">2026-10-19 07:31:00</t>
  </si>
  <si>
    <t xml:space="preserve">IMAG6229.JPG</t>
  </si>
  <si>
    <t xml:space="preserve">2026-10-19 07:38:00</t>
  </si>
  <si>
    <t xml:space="preserve">IMAG6258.JPG</t>
  </si>
  <si>
    <t xml:space="preserve">2026-10-19 07:42:50</t>
  </si>
  <si>
    <t xml:space="preserve">IMAG6269.JPG</t>
  </si>
  <si>
    <t xml:space="preserve">2026-10-19 07:44:40</t>
  </si>
  <si>
    <t xml:space="preserve">IMAG6276.JPG</t>
  </si>
  <si>
    <t xml:space="preserve">2026-10-19 07:45:50</t>
  </si>
  <si>
    <t xml:space="preserve">IMAG6286.JPG</t>
  </si>
  <si>
    <t xml:space="preserve">2026-10-19 07:47:30</t>
  </si>
  <si>
    <t xml:space="preserve">IMAG6297.JPG</t>
  </si>
  <si>
    <t xml:space="preserve">2026-10-19 07:49:20</t>
  </si>
  <si>
    <t xml:space="preserve">IMAG6462.JPG</t>
  </si>
  <si>
    <t xml:space="preserve">2026-10-20 07:26:50</t>
  </si>
  <si>
    <t xml:space="preserve">IMAG6527.JPG</t>
  </si>
  <si>
    <t xml:space="preserve">2026-10-20 07:37:40</t>
  </si>
  <si>
    <t xml:space="preserve">IMAG6597.JPG</t>
  </si>
  <si>
    <t xml:space="preserve">2026-10-20 07:49:20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</si>
</sst>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2EFD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1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2" t="s">
        <v>10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1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 t="s">
        <v>14</v>
      </c>
    </row>
    <row r="18" customFormat="false" ht="15" hidden="false" customHeight="false" outlineLevel="0" collapsed="false">
      <c r="A18" s="2" t="s">
        <v>15</v>
      </c>
    </row>
    <row r="19" customFormat="false" ht="15" hidden="false" customHeight="false" outlineLevel="0" collapsed="false">
      <c r="A19" s="2" t="s">
        <v>16</v>
      </c>
    </row>
    <row r="20" customFormat="false" ht="15" hidden="false" customHeight="false" outlineLevel="0" collapsed="false">
      <c r="A20" s="2" t="s">
        <v>17</v>
      </c>
    </row>
    <row r="21" customFormat="false" ht="15" hidden="false" customHeight="false" outlineLevel="0" collapsed="false">
      <c r="A21" s="2" t="s">
        <v>18</v>
      </c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1" t="s">
        <v>19</v>
      </c>
    </row>
    <row r="24" customFormat="false" ht="15" hidden="false" customHeight="false" outlineLevel="0" collapsed="false">
      <c r="A24" s="2" t="s">
        <v>20</v>
      </c>
    </row>
    <row r="25" customFormat="false" ht="15" hidden="false" customHeight="false" outlineLevel="0" collapsed="false">
      <c r="A25" s="2" t="s">
        <v>21</v>
      </c>
    </row>
    <row r="26" customFormat="false" ht="15" hidden="false" customHeight="false" outlineLevel="0" collapsed="false">
      <c r="A26" s="2" t="s">
        <v>22</v>
      </c>
    </row>
    <row r="27" customFormat="false" ht="15" hidden="false" customHeight="false" outlineLevel="0" collapsed="false">
      <c r="A27" s="2" t="s">
        <v>23</v>
      </c>
    </row>
    <row r="28" customFormat="false" ht="15" hidden="false" customHeight="false" outlineLevel="0" collapsed="false">
      <c r="A28" s="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4" min="3" style="0" width="16"/>
    <col collapsed="false" customWidth="true" hidden="false" outlineLevel="0" max="7" min="5" style="0" width="10"/>
    <col collapsed="false" customWidth="true" hidden="false" outlineLevel="0" max="10" min="8" style="0" width="12"/>
    <col collapsed="false" customWidth="true" hidden="false" outlineLevel="0" max="15" min="11" style="0" width="10"/>
    <col collapsed="false" customWidth="true" hidden="false" outlineLevel="0" max="16" min="16" style="0" width="12"/>
    <col collapsed="false" customWidth="true" hidden="false" outlineLevel="0" max="19" min="17" style="0" width="10"/>
    <col collapsed="false" customWidth="true" hidden="false" outlineLevel="0" max="20" min="20" style="0" width="12"/>
    <col collapsed="false" customWidth="true" hidden="false" outlineLevel="0" max="21" min="21" style="0" width="16"/>
    <col collapsed="false" customWidth="true" hidden="false" outlineLevel="0" max="22" min="22" style="0" width="7"/>
    <col collapsed="false" customWidth="true" hidden="false" outlineLevel="0" max="23" min="23" style="0" width="10"/>
    <col collapsed="false" customWidth="true" hidden="false" outlineLevel="0" max="24" min="24" style="0" width="7"/>
    <col collapsed="false" customWidth="true" hidden="false" outlineLevel="0" max="25" min="25" style="0" width="18"/>
    <col collapsed="false" customWidth="true" hidden="false" outlineLevel="0" max="26" min="26" style="0" width="30"/>
  </cols>
  <sheetData>
    <row r="1" customFormat="false" ht="35.05" hidden="false" customHeight="false" outlineLevel="0" collapsed="false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</row>
    <row r="2" customFormat="false" ht="15" hidden="false" customHeight="false" outlineLevel="0" collapsed="false">
      <c r="A2" s="4" t="n">
        <v>3</v>
      </c>
      <c r="B2" s="4" t="s">
        <v>51</v>
      </c>
      <c r="C2" s="4" t="s">
        <v>52</v>
      </c>
      <c r="D2" s="4" t="s">
        <v>53</v>
      </c>
      <c r="E2" s="4" t="n">
        <v>150</v>
      </c>
      <c r="F2" s="4" t="n">
        <v>3</v>
      </c>
      <c r="G2" s="4" t="n">
        <v>60</v>
      </c>
      <c r="H2" s="4" t="n">
        <v>147</v>
      </c>
      <c r="I2" s="4" t="n">
        <f aca="false">ROUND(H2*10/3600,2)</f>
        <v>0.41</v>
      </c>
      <c r="J2" s="4" t="n">
        <v>10</v>
      </c>
      <c r="K2" s="4" t="n">
        <v>4</v>
      </c>
      <c r="L2" s="4" t="n">
        <v>4</v>
      </c>
      <c r="M2" s="4" t="n">
        <v>1</v>
      </c>
      <c r="N2" s="4" t="n">
        <v>0</v>
      </c>
      <c r="O2" s="4" t="n">
        <v>3</v>
      </c>
      <c r="P2" s="4" t="n">
        <f aca="false">IF(H2=0,"",ROUND(O2/(H2*10/3600),2))</f>
        <v>7.35</v>
      </c>
      <c r="Q2" s="4" t="s">
        <v>54</v>
      </c>
      <c r="R2" s="4"/>
      <c r="S2" s="4"/>
      <c r="T2" s="4"/>
      <c r="U2" s="4" t="s">
        <v>55</v>
      </c>
      <c r="V2" s="4" t="n">
        <v>0.25</v>
      </c>
      <c r="W2" s="4" t="n">
        <v>640</v>
      </c>
      <c r="X2" s="4" t="n">
        <v>1</v>
      </c>
      <c r="Y2" s="4" t="s">
        <v>56</v>
      </c>
      <c r="Z2" s="4" t="s">
        <v>57</v>
      </c>
    </row>
    <row r="3" customFormat="false" ht="15" hidden="false" customHeight="false" outlineLevel="0" collapsed="false">
      <c r="A3" s="4" t="n">
        <v>7</v>
      </c>
      <c r="B3" s="4" t="s">
        <v>58</v>
      </c>
      <c r="C3" s="4" t="s">
        <v>59</v>
      </c>
      <c r="D3" s="4" t="s">
        <v>60</v>
      </c>
      <c r="E3" s="4" t="n">
        <v>1080</v>
      </c>
      <c r="F3" s="4" t="n">
        <v>27</v>
      </c>
      <c r="G3" s="4" t="n">
        <v>60</v>
      </c>
      <c r="H3" s="4" t="n">
        <v>1053</v>
      </c>
      <c r="I3" s="4" t="n">
        <f aca="false">ROUND(H3*10/3600,2)</f>
        <v>2.93</v>
      </c>
      <c r="J3" s="4" t="n">
        <v>10</v>
      </c>
      <c r="K3" s="4" t="n">
        <v>49</v>
      </c>
      <c r="L3" s="4" t="n">
        <v>54</v>
      </c>
      <c r="M3" s="4" t="n">
        <v>12</v>
      </c>
      <c r="N3" s="4" t="n">
        <v>17</v>
      </c>
      <c r="O3" s="4" t="n">
        <v>25</v>
      </c>
      <c r="P3" s="4" t="n">
        <f aca="false">IF(H3=0,"",ROUND(O3/(H3*10/3600),2))</f>
        <v>8.55</v>
      </c>
      <c r="Q3" s="4" t="s">
        <v>54</v>
      </c>
      <c r="R3" s="4"/>
      <c r="S3" s="4"/>
      <c r="T3" s="4"/>
      <c r="U3" s="4" t="s">
        <v>54</v>
      </c>
      <c r="V3" s="4" t="n">
        <v>0.25</v>
      </c>
      <c r="W3" s="4" t="n">
        <v>640</v>
      </c>
      <c r="X3" s="4" t="n">
        <v>1</v>
      </c>
      <c r="Y3" s="4" t="s">
        <v>56</v>
      </c>
      <c r="Z3" s="4" t="s">
        <v>61</v>
      </c>
    </row>
    <row r="4" customFormat="false" ht="15" hidden="false" customHeight="false" outlineLevel="0" collapsed="false">
      <c r="A4" s="4" t="n">
        <v>10</v>
      </c>
      <c r="B4" s="4" t="s">
        <v>62</v>
      </c>
      <c r="C4" s="4" t="s">
        <v>63</v>
      </c>
      <c r="D4" s="4" t="s">
        <v>64</v>
      </c>
      <c r="E4" s="4" t="n">
        <v>6600</v>
      </c>
      <c r="F4" s="4" t="n">
        <v>154</v>
      </c>
      <c r="G4" s="4" t="n">
        <v>60</v>
      </c>
      <c r="H4" s="4" t="n">
        <v>6446</v>
      </c>
      <c r="I4" s="4" t="n">
        <f aca="false">ROUND(H4*10/3600,2)</f>
        <v>17.91</v>
      </c>
      <c r="J4" s="4" t="n">
        <v>10</v>
      </c>
      <c r="K4" s="4" t="n">
        <v>114</v>
      </c>
      <c r="L4" s="4" t="n">
        <v>137</v>
      </c>
      <c r="M4" s="4" t="n">
        <v>34</v>
      </c>
      <c r="N4" s="4" t="n">
        <v>39</v>
      </c>
      <c r="O4" s="4" t="n">
        <v>64</v>
      </c>
      <c r="P4" s="4" t="n">
        <f aca="false">IF(H4=0,"",ROUND(O4/(H4*10/3600),2))</f>
        <v>3.57</v>
      </c>
      <c r="Q4" s="4" t="s">
        <v>65</v>
      </c>
      <c r="R4" s="4" t="n">
        <v>0.62</v>
      </c>
      <c r="S4" s="4" t="n">
        <v>0.71</v>
      </c>
      <c r="T4" s="4" t="n">
        <f aca="false">IF(R4="","",ROUND(O4*R4,0))</f>
        <v>40</v>
      </c>
      <c r="U4" s="4" t="s">
        <v>66</v>
      </c>
      <c r="V4" s="4" t="n">
        <v>0.25</v>
      </c>
      <c r="W4" s="4" t="n">
        <v>640</v>
      </c>
      <c r="X4" s="4" t="n">
        <v>1</v>
      </c>
      <c r="Y4" s="4" t="s">
        <v>56</v>
      </c>
      <c r="Z4" s="4" t="s">
        <v>67</v>
      </c>
    </row>
    <row r="5" customFormat="false" ht="15" hidden="false" customHeight="false" outlineLevel="0" collapsed="false">
      <c r="B5" s="5" t="s">
        <v>68</v>
      </c>
      <c r="E5" s="5" t="n">
        <f aca="false">SUM(E2:E4)</f>
        <v>7830</v>
      </c>
      <c r="F5" s="5" t="n">
        <f aca="false">SUM(F2:F4)</f>
        <v>184</v>
      </c>
      <c r="H5" s="5" t="n">
        <f aca="false">SUM(H2:H4)</f>
        <v>7646</v>
      </c>
      <c r="I5" s="5" t="n">
        <f aca="false">ROUND(H5*10/3600,2)</f>
        <v>21.24</v>
      </c>
      <c r="K5" s="5" t="n">
        <f aca="false">SUM(K2:K4)</f>
        <v>167</v>
      </c>
      <c r="L5" s="5" t="n">
        <f aca="false">SUM(L2:L4)</f>
        <v>195</v>
      </c>
      <c r="M5" s="5" t="n">
        <f aca="false">SUM(M2:M4)</f>
        <v>47</v>
      </c>
      <c r="N5" s="5" t="n">
        <f aca="false">SUM(N2:N4)</f>
        <v>56</v>
      </c>
      <c r="O5" s="5" t="n">
        <f aca="false">SUM(O2:O4)</f>
        <v>92</v>
      </c>
      <c r="P5" s="5" t="n">
        <f aca="false">IF(H5=0,"",ROUND(O5/(H5*10/3600),2))</f>
        <v>4.33</v>
      </c>
    </row>
    <row r="7" customFormat="false" ht="15" hidden="false" customHeight="false" outlineLevel="0" collapsed="false">
      <c r="A7" s="6" t="s">
        <v>69</v>
      </c>
    </row>
    <row r="8" customFormat="false" ht="15" hidden="false" customHeight="false" outlineLevel="0" collapsed="false">
      <c r="A8" s="6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7" min="5" style="0" width="12"/>
    <col collapsed="false" customWidth="true" hidden="false" outlineLevel="0" max="9" min="8" style="0" width="13"/>
    <col collapsed="false" customWidth="true" hidden="false" outlineLevel="0" max="15" min="10" style="0" width="12"/>
    <col collapsed="false" customWidth="true" hidden="false" outlineLevel="0" max="18" min="16" style="0" width="13"/>
    <col collapsed="false" customWidth="true" hidden="false" outlineLevel="0" max="24" min="19" style="0" width="11"/>
  </cols>
  <sheetData>
    <row r="1" customFormat="false" ht="35.05" hidden="false" customHeight="false" outlineLevel="0" collapsed="false">
      <c r="A1" s="3" t="s">
        <v>25</v>
      </c>
      <c r="B1" s="3" t="s">
        <v>26</v>
      </c>
      <c r="C1" s="3" t="s">
        <v>71</v>
      </c>
      <c r="D1" s="3" t="s">
        <v>72</v>
      </c>
      <c r="E1" s="3" t="s">
        <v>73</v>
      </c>
      <c r="F1" s="3" t="s">
        <v>74</v>
      </c>
      <c r="G1" s="3" t="s">
        <v>75</v>
      </c>
      <c r="H1" s="3" t="s">
        <v>76</v>
      </c>
      <c r="I1" s="3" t="s">
        <v>77</v>
      </c>
      <c r="J1" s="3" t="s">
        <v>78</v>
      </c>
      <c r="K1" s="3" t="s">
        <v>79</v>
      </c>
      <c r="L1" s="3" t="s">
        <v>80</v>
      </c>
      <c r="M1" s="3" t="s">
        <v>81</v>
      </c>
      <c r="N1" s="3" t="s">
        <v>82</v>
      </c>
      <c r="O1" s="3" t="s">
        <v>83</v>
      </c>
      <c r="P1" s="3" t="s">
        <v>84</v>
      </c>
      <c r="Q1" s="3" t="s">
        <v>85</v>
      </c>
      <c r="R1" s="3" t="s">
        <v>86</v>
      </c>
      <c r="S1" s="3" t="s">
        <v>87</v>
      </c>
      <c r="T1" s="3" t="s">
        <v>88</v>
      </c>
      <c r="U1" s="3" t="s">
        <v>89</v>
      </c>
      <c r="V1" s="3" t="s">
        <v>90</v>
      </c>
      <c r="W1" s="3" t="s">
        <v>91</v>
      </c>
      <c r="X1" s="3" t="s">
        <v>92</v>
      </c>
    </row>
    <row r="2" customFormat="false" ht="15" hidden="false" customHeight="false" outlineLevel="0" collapsed="false">
      <c r="A2" s="4" t="n">
        <v>3</v>
      </c>
      <c r="B2" s="4" t="s">
        <v>51</v>
      </c>
      <c r="C2" s="4" t="n">
        <v>39.76766</v>
      </c>
      <c r="D2" s="4" t="n">
        <v>-104.98496</v>
      </c>
      <c r="E2" s="4"/>
      <c r="F2" s="4"/>
      <c r="G2" s="4"/>
      <c r="H2" s="4" t="n">
        <f aca="false">SUM(E2:G2)</f>
        <v>0</v>
      </c>
      <c r="I2" s="4" t="n">
        <v>3</v>
      </c>
      <c r="J2" s="4"/>
      <c r="K2" s="4"/>
      <c r="L2" s="4"/>
      <c r="M2" s="4" t="str">
        <f aca="false">IF(J2="","",ROUND(J2*10/3600,2))</f>
        <v/>
      </c>
      <c r="N2" s="4" t="str">
        <f aca="false">IF(K2="","",ROUND(K2*10/3600,2))</f>
        <v/>
      </c>
      <c r="O2" s="4" t="str">
        <f aca="false">IF(L2="","",ROUND(L2*10/3600,2))</f>
        <v/>
      </c>
      <c r="P2" s="4" t="str">
        <f aca="false">IF(OR(E2="",J2=0),"",ROUND(E2/(J2*10/3600),2))</f>
        <v/>
      </c>
      <c r="Q2" s="4" t="str">
        <f aca="false">IF(OR(F2="",K2=0),"",ROUND(F2/(K2*10/3600),2))</f>
        <v/>
      </c>
      <c r="R2" s="4" t="str">
        <f aca="false">IF(OR(G2="",L2=0),"",ROUND(G2/(L2*10/3600),2))</f>
        <v/>
      </c>
      <c r="S2" s="4"/>
      <c r="T2" s="4"/>
      <c r="U2" s="4"/>
      <c r="V2" s="4"/>
      <c r="W2" s="4"/>
      <c r="X2" s="4"/>
    </row>
    <row r="3" customFormat="false" ht="15" hidden="false" customHeight="false" outlineLevel="0" collapsed="false">
      <c r="A3" s="4" t="n">
        <v>7</v>
      </c>
      <c r="B3" s="4" t="s">
        <v>58</v>
      </c>
      <c r="C3" s="4" t="n">
        <v>39.73998</v>
      </c>
      <c r="D3" s="4" t="n">
        <v>-105.01789</v>
      </c>
      <c r="E3" s="4"/>
      <c r="F3" s="4" t="n">
        <v>25</v>
      </c>
      <c r="G3" s="4"/>
      <c r="H3" s="4" t="n">
        <f aca="false">SUM(E3:G3)</f>
        <v>25</v>
      </c>
      <c r="I3" s="4"/>
      <c r="J3" s="4"/>
      <c r="K3" s="4" t="n">
        <v>1053</v>
      </c>
      <c r="L3" s="4"/>
      <c r="M3" s="4" t="str">
        <f aca="false">IF(J3="","",ROUND(J3*10/3600,2))</f>
        <v/>
      </c>
      <c r="N3" s="4" t="n">
        <f aca="false">IF(K3="","",ROUND(K3*10/3600,2))</f>
        <v>2.93</v>
      </c>
      <c r="O3" s="4" t="str">
        <f aca="false">IF(L3="","",ROUND(L3*10/3600,2))</f>
        <v/>
      </c>
      <c r="P3" s="4" t="str">
        <f aca="false">IF(OR(E3="",J3=0),"",ROUND(E3/(J3*10/3600),2))</f>
        <v/>
      </c>
      <c r="Q3" s="4" t="n">
        <f aca="false">IF(OR(F3="",K3=0),"",ROUND(F3/(K3*10/3600),2))</f>
        <v>8.55</v>
      </c>
      <c r="R3" s="4" t="str">
        <f aca="false">IF(OR(G3="",L3=0),"",ROUND(G3/(L3*10/3600),2))</f>
        <v/>
      </c>
      <c r="S3" s="4"/>
      <c r="T3" s="4" t="n">
        <v>54</v>
      </c>
      <c r="U3" s="4"/>
      <c r="V3" s="4"/>
      <c r="W3" s="4" t="n">
        <v>9</v>
      </c>
      <c r="X3" s="4"/>
    </row>
    <row r="4" customFormat="false" ht="15" hidden="false" customHeight="false" outlineLevel="0" collapsed="false">
      <c r="A4" s="4" t="n">
        <v>10</v>
      </c>
      <c r="B4" s="4" t="s">
        <v>62</v>
      </c>
      <c r="C4" s="4" t="n">
        <v>39.69667</v>
      </c>
      <c r="D4" s="4" t="n">
        <v>-104.99249</v>
      </c>
      <c r="E4" s="4" t="n">
        <v>34</v>
      </c>
      <c r="F4" s="4" t="n">
        <v>30</v>
      </c>
      <c r="G4" s="4"/>
      <c r="H4" s="4" t="n">
        <f aca="false">SUM(E4:G4)</f>
        <v>64</v>
      </c>
      <c r="I4" s="4"/>
      <c r="J4" s="4" t="n">
        <v>3809</v>
      </c>
      <c r="K4" s="4" t="n">
        <v>2637</v>
      </c>
      <c r="L4" s="4"/>
      <c r="M4" s="4" t="n">
        <f aca="false">IF(J4="","",ROUND(J4*10/3600,2))</f>
        <v>10.58</v>
      </c>
      <c r="N4" s="4" t="n">
        <f aca="false">IF(K4="","",ROUND(K4*10/3600,2))</f>
        <v>7.33</v>
      </c>
      <c r="O4" s="4" t="str">
        <f aca="false">IF(L4="","",ROUND(L4*10/3600,2))</f>
        <v/>
      </c>
      <c r="P4" s="4" t="n">
        <f aca="false">IF(OR(E4="",J4=0),"",ROUND(E4/(J4*10/3600),2))</f>
        <v>3.21</v>
      </c>
      <c r="Q4" s="4" t="n">
        <f aca="false">IF(OR(F4="",K4=0),"",ROUND(F4/(K4*10/3600),2))</f>
        <v>4.1</v>
      </c>
      <c r="R4" s="4" t="str">
        <f aca="false">IF(OR(G4="",L4=0),"",ROUND(G4/(L4*10/3600),2))</f>
        <v/>
      </c>
      <c r="S4" s="4" t="n">
        <v>80</v>
      </c>
      <c r="T4" s="4" t="n">
        <v>57</v>
      </c>
      <c r="U4" s="4"/>
      <c r="V4" s="4" t="n">
        <v>13</v>
      </c>
      <c r="W4" s="4" t="n">
        <v>9</v>
      </c>
      <c r="X4" s="4"/>
    </row>
    <row r="5" customFormat="false" ht="15" hidden="false" customHeight="false" outlineLevel="0" collapsed="false">
      <c r="B5" s="5" t="s">
        <v>68</v>
      </c>
      <c r="E5" s="5" t="n">
        <f aca="false">SUM(E2:E4)</f>
        <v>34</v>
      </c>
      <c r="F5" s="5" t="n">
        <f aca="false">SUM(F2:F4)</f>
        <v>55</v>
      </c>
      <c r="G5" s="5" t="n">
        <f aca="false">SUM(G2:G4)</f>
        <v>0</v>
      </c>
      <c r="H5" s="5" t="n">
        <f aca="false">SUM(H2:H4)</f>
        <v>89</v>
      </c>
      <c r="I5" s="5" t="n">
        <f aca="false">SUM(I2:I4)</f>
        <v>3</v>
      </c>
      <c r="J5" s="5" t="n">
        <f aca="false">SUM(J2:J4)</f>
        <v>3809</v>
      </c>
      <c r="K5" s="5" t="n">
        <f aca="false">SUM(K2:K4)</f>
        <v>3690</v>
      </c>
      <c r="L5" s="5" t="n">
        <f aca="false">SUM(L2:L4)</f>
        <v>0</v>
      </c>
      <c r="S5" s="5" t="n">
        <f aca="false">SUM(S2:S4)</f>
        <v>80</v>
      </c>
      <c r="T5" s="5" t="n">
        <f aca="false">SUM(T2:T4)</f>
        <v>111</v>
      </c>
      <c r="U5" s="5" t="n">
        <f aca="false">SUM(U2:U4)</f>
        <v>0</v>
      </c>
    </row>
    <row r="7" customFormat="false" ht="15" hidden="false" customHeight="false" outlineLevel="0" collapsed="false">
      <c r="A7" s="6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6" min="5" style="0" width="12"/>
    <col collapsed="false" customWidth="true" hidden="false" outlineLevel="0" max="7" min="7" style="0" width="16"/>
    <col collapsed="false" customWidth="true" hidden="false" outlineLevel="0" max="8" min="8" style="0" width="20"/>
    <col collapsed="false" customWidth="true" hidden="false" outlineLevel="0" max="9" min="9" style="0" width="18"/>
    <col collapsed="false" customWidth="true" hidden="false" outlineLevel="0" max="11" min="10" style="0" width="16"/>
    <col collapsed="false" customWidth="true" hidden="false" outlineLevel="0" max="13" min="12" style="0" width="14"/>
    <col collapsed="false" customWidth="true" hidden="false" outlineLevel="0" max="14" min="14" style="0" width="44"/>
  </cols>
  <sheetData>
    <row r="1" customFormat="false" ht="23.85" hidden="false" customHeight="false" outlineLevel="0" collapsed="false">
      <c r="A1" s="3" t="s">
        <v>25</v>
      </c>
      <c r="B1" s="3" t="s">
        <v>26</v>
      </c>
      <c r="C1" s="3" t="s">
        <v>94</v>
      </c>
      <c r="D1" s="3" t="s">
        <v>95</v>
      </c>
      <c r="E1" s="3" t="s">
        <v>96</v>
      </c>
      <c r="F1" s="3" t="s">
        <v>97</v>
      </c>
      <c r="G1" s="3" t="s">
        <v>98</v>
      </c>
      <c r="H1" s="3" t="s">
        <v>99</v>
      </c>
      <c r="I1" s="3" t="s">
        <v>100</v>
      </c>
      <c r="J1" s="3" t="s">
        <v>101</v>
      </c>
      <c r="K1" s="3" t="s">
        <v>102</v>
      </c>
      <c r="L1" s="3" t="s">
        <v>103</v>
      </c>
      <c r="M1" s="3" t="s">
        <v>104</v>
      </c>
      <c r="N1" s="3" t="s">
        <v>105</v>
      </c>
    </row>
    <row r="2" customFormat="false" ht="15" hidden="false" customHeight="false" outlineLevel="0" collapsed="false">
      <c r="A2" s="4" t="n">
        <v>1</v>
      </c>
      <c r="B2" s="4" t="s">
        <v>106</v>
      </c>
      <c r="C2" s="4" t="s">
        <v>107</v>
      </c>
      <c r="D2" s="4" t="n">
        <v>222</v>
      </c>
      <c r="E2" s="4" t="n">
        <v>56</v>
      </c>
      <c r="F2" s="4" t="n">
        <v>666</v>
      </c>
      <c r="G2" s="4"/>
      <c r="H2" s="4"/>
      <c r="I2" s="4" t="str">
        <f aca="false">IF(H2="","",ROUND(H2*10/3600,2))</f>
        <v/>
      </c>
      <c r="J2" s="4" t="n">
        <f aca="false">IF(D2="","",ROUND(D2/159.29,2))</f>
        <v>1.39</v>
      </c>
      <c r="K2" s="4" t="str">
        <f aca="false">IF(OR(G2="",H2="",H2=0),"",ROUND(G2/(H2*10/3600),2))</f>
        <v/>
      </c>
      <c r="L2" s="4" t="str">
        <f aca="false">IF(OR(K2="",J2="",J2=0),"",ROUND(K2/J2,2))</f>
        <v/>
      </c>
      <c r="M2" s="4" t="str">
        <f aca="false">IF(OR(K2="",E2=""),"",IF(AND(K2&gt;=E2/159.29,K2&lt;=F2/159.29),"yes","no"))</f>
        <v/>
      </c>
      <c r="N2" s="4" t="s">
        <v>108</v>
      </c>
    </row>
    <row r="3" customFormat="false" ht="15" hidden="false" customHeight="false" outlineLevel="0" collapsed="false">
      <c r="A3" s="4" t="n">
        <v>2</v>
      </c>
      <c r="B3" s="4" t="s">
        <v>109</v>
      </c>
      <c r="C3" s="4" t="s">
        <v>107</v>
      </c>
      <c r="D3" s="4" t="n">
        <v>249</v>
      </c>
      <c r="E3" s="4" t="n">
        <v>62</v>
      </c>
      <c r="F3" s="4" t="n">
        <v>747</v>
      </c>
      <c r="G3" s="4"/>
      <c r="H3" s="4"/>
      <c r="I3" s="4" t="str">
        <f aca="false">IF(H3="","",ROUND(H3*10/3600,2))</f>
        <v/>
      </c>
      <c r="J3" s="4" t="n">
        <f aca="false">IF(D3="","",ROUND(D3/159.29,2))</f>
        <v>1.56</v>
      </c>
      <c r="K3" s="4" t="str">
        <f aca="false">IF(OR(G3="",H3="",H3=0),"",ROUND(G3/(H3*10/3600),2))</f>
        <v/>
      </c>
      <c r="L3" s="4" t="str">
        <f aca="false">IF(OR(K3="",J3="",J3=0),"",ROUND(K3/J3,2))</f>
        <v/>
      </c>
      <c r="M3" s="4" t="str">
        <f aca="false">IF(OR(K3="",E3=""),"",IF(AND(K3&gt;=E3/159.29,K3&lt;=F3/159.29),"yes","no"))</f>
        <v/>
      </c>
      <c r="N3" s="4" t="s">
        <v>108</v>
      </c>
    </row>
    <row r="4" customFormat="false" ht="15" hidden="false" customHeight="false" outlineLevel="0" collapsed="false">
      <c r="A4" s="4" t="n">
        <v>3</v>
      </c>
      <c r="B4" s="4" t="s">
        <v>51</v>
      </c>
      <c r="C4" s="4" t="s">
        <v>107</v>
      </c>
      <c r="D4" s="4" t="n">
        <v>255</v>
      </c>
      <c r="E4" s="4" t="n">
        <v>64</v>
      </c>
      <c r="F4" s="4" t="n">
        <v>765</v>
      </c>
      <c r="G4" s="4"/>
      <c r="H4" s="4"/>
      <c r="I4" s="4" t="str">
        <f aca="false">IF(H4="","",ROUND(H4*10/3600,2))</f>
        <v/>
      </c>
      <c r="J4" s="4" t="n">
        <f aca="false">IF(D4="","",ROUND(D4/159.29,2))</f>
        <v>1.6</v>
      </c>
      <c r="K4" s="4" t="str">
        <f aca="false">IF(OR(G4="",H4="",H4=0),"",ROUND(G4/(H4*10/3600),2))</f>
        <v/>
      </c>
      <c r="L4" s="4" t="str">
        <f aca="false">IF(OR(K4="",J4="",J4=0),"",ROUND(K4/J4,2))</f>
        <v/>
      </c>
      <c r="M4" s="4" t="str">
        <f aca="false">IF(OR(K4="",E4=""),"",IF(AND(K4&gt;=E4/159.29,K4&lt;=F4/159.29),"yes","no"))</f>
        <v/>
      </c>
      <c r="N4" s="4" t="s">
        <v>110</v>
      </c>
    </row>
    <row r="5" customFormat="false" ht="15" hidden="false" customHeight="false" outlineLevel="0" collapsed="false">
      <c r="A5" s="4" t="n">
        <v>4</v>
      </c>
      <c r="B5" s="4" t="s">
        <v>111</v>
      </c>
      <c r="C5" s="4" t="s">
        <v>107</v>
      </c>
      <c r="D5" s="4" t="n">
        <v>287</v>
      </c>
      <c r="E5" s="4" t="n">
        <v>72</v>
      </c>
      <c r="F5" s="4" t="n">
        <v>861</v>
      </c>
      <c r="G5" s="4"/>
      <c r="H5" s="4"/>
      <c r="I5" s="4" t="str">
        <f aca="false">IF(H5="","",ROUND(H5*10/3600,2))</f>
        <v/>
      </c>
      <c r="J5" s="4" t="n">
        <f aca="false">IF(D5="","",ROUND(D5/159.29,2))</f>
        <v>1.8</v>
      </c>
      <c r="K5" s="4" t="str">
        <f aca="false">IF(OR(G5="",H5="",H5=0),"",ROUND(G5/(H5*10/3600),2))</f>
        <v/>
      </c>
      <c r="L5" s="4" t="str">
        <f aca="false">IF(OR(K5="",J5="",J5=0),"",ROUND(K5/J5,2))</f>
        <v/>
      </c>
      <c r="M5" s="4" t="str">
        <f aca="false">IF(OR(K5="",E5=""),"",IF(AND(K5&gt;=E5/159.29,K5&lt;=F5/159.29),"yes","no"))</f>
        <v/>
      </c>
      <c r="N5" s="4" t="s">
        <v>108</v>
      </c>
    </row>
    <row r="6" customFormat="false" ht="15" hidden="false" customHeight="false" outlineLevel="0" collapsed="false">
      <c r="A6" s="4" t="n">
        <v>5</v>
      </c>
      <c r="B6" s="4" t="s">
        <v>112</v>
      </c>
      <c r="C6" s="4" t="s">
        <v>107</v>
      </c>
      <c r="D6" s="4" t="n">
        <v>349</v>
      </c>
      <c r="E6" s="4" t="n">
        <v>87</v>
      </c>
      <c r="F6" s="4" t="n">
        <v>1047</v>
      </c>
      <c r="G6" s="4"/>
      <c r="H6" s="4"/>
      <c r="I6" s="4" t="str">
        <f aca="false">IF(H6="","",ROUND(H6*10/3600,2))</f>
        <v/>
      </c>
      <c r="J6" s="4" t="n">
        <f aca="false">IF(D6="","",ROUND(D6/159.29,2))</f>
        <v>2.19</v>
      </c>
      <c r="K6" s="4" t="str">
        <f aca="false">IF(OR(G6="",H6="",H6=0),"",ROUND(G6/(H6*10/3600),2))</f>
        <v/>
      </c>
      <c r="L6" s="4" t="str">
        <f aca="false">IF(OR(K6="",J6="",J6=0),"",ROUND(K6/J6,2))</f>
        <v/>
      </c>
      <c r="M6" s="4" t="str">
        <f aca="false">IF(OR(K6="",E6=""),"",IF(AND(K6&gt;=E6/159.29,K6&lt;=F6/159.29),"yes","no"))</f>
        <v/>
      </c>
      <c r="N6" s="4" t="s">
        <v>108</v>
      </c>
    </row>
    <row r="7" customFormat="false" ht="15" hidden="false" customHeight="false" outlineLevel="0" collapsed="false">
      <c r="A7" s="4" t="n">
        <v>6</v>
      </c>
      <c r="B7" s="4" t="s">
        <v>113</v>
      </c>
      <c r="C7" s="4" t="s">
        <v>107</v>
      </c>
      <c r="D7" s="4" t="n">
        <v>253</v>
      </c>
      <c r="E7" s="4" t="n">
        <v>63</v>
      </c>
      <c r="F7" s="4" t="n">
        <v>759</v>
      </c>
      <c r="G7" s="4"/>
      <c r="H7" s="4"/>
      <c r="I7" s="4" t="str">
        <f aca="false">IF(H7="","",ROUND(H7*10/3600,2))</f>
        <v/>
      </c>
      <c r="J7" s="4" t="n">
        <f aca="false">IF(D7="","",ROUND(D7/159.29,2))</f>
        <v>1.59</v>
      </c>
      <c r="K7" s="4" t="str">
        <f aca="false">IF(OR(G7="",H7="",H7=0),"",ROUND(G7/(H7*10/3600),2))</f>
        <v/>
      </c>
      <c r="L7" s="4" t="str">
        <f aca="false">IF(OR(K7="",J7="",J7=0),"",ROUND(K7/J7,2))</f>
        <v/>
      </c>
      <c r="M7" s="4" t="str">
        <f aca="false">IF(OR(K7="",E7=""),"",IF(AND(K7&gt;=E7/159.29,K7&lt;=F7/159.29),"yes","no"))</f>
        <v/>
      </c>
      <c r="N7" s="4" t="s">
        <v>108</v>
      </c>
    </row>
    <row r="8" customFormat="false" ht="15" hidden="false" customHeight="false" outlineLevel="0" collapsed="false">
      <c r="A8" s="4" t="n">
        <v>7</v>
      </c>
      <c r="B8" s="4" t="s">
        <v>58</v>
      </c>
      <c r="C8" s="4" t="s">
        <v>107</v>
      </c>
      <c r="D8" s="4" t="n">
        <v>271</v>
      </c>
      <c r="E8" s="4" t="n">
        <v>68</v>
      </c>
      <c r="F8" s="4" t="n">
        <v>813</v>
      </c>
      <c r="G8" s="4"/>
      <c r="H8" s="4"/>
      <c r="I8" s="4" t="str">
        <f aca="false">IF(H8="","",ROUND(H8*10/3600,2))</f>
        <v/>
      </c>
      <c r="J8" s="4" t="n">
        <f aca="false">IF(D8="","",ROUND(D8/159.29,2))</f>
        <v>1.7</v>
      </c>
      <c r="K8" s="4" t="str">
        <f aca="false">IF(OR(G8="",H8="",H8=0),"",ROUND(G8/(H8*10/3600),2))</f>
        <v/>
      </c>
      <c r="L8" s="4" t="str">
        <f aca="false">IF(OR(K8="",J8="",J8=0),"",ROUND(K8/J8,2))</f>
        <v/>
      </c>
      <c r="M8" s="4" t="str">
        <f aca="false">IF(OR(K8="",E8=""),"",IF(AND(K8&gt;=E8/159.29,K8&lt;=F8/159.29),"yes","no"))</f>
        <v/>
      </c>
      <c r="N8" s="4" t="s">
        <v>110</v>
      </c>
    </row>
    <row r="9" customFormat="false" ht="15" hidden="false" customHeight="false" outlineLevel="0" collapsed="false">
      <c r="A9" s="4" t="n">
        <v>8</v>
      </c>
      <c r="B9" s="4" t="s">
        <v>114</v>
      </c>
      <c r="C9" s="4" t="s">
        <v>107</v>
      </c>
      <c r="D9" s="4" t="n">
        <v>163</v>
      </c>
      <c r="E9" s="4" t="n">
        <v>41</v>
      </c>
      <c r="F9" s="4" t="n">
        <v>489</v>
      </c>
      <c r="G9" s="4"/>
      <c r="H9" s="4"/>
      <c r="I9" s="4" t="str">
        <f aca="false">IF(H9="","",ROUND(H9*10/3600,2))</f>
        <v/>
      </c>
      <c r="J9" s="4" t="n">
        <f aca="false">IF(D9="","",ROUND(D9/159.29,2))</f>
        <v>1.02</v>
      </c>
      <c r="K9" s="4" t="str">
        <f aca="false">IF(OR(G9="",H9="",H9=0),"",ROUND(G9/(H9*10/3600),2))</f>
        <v/>
      </c>
      <c r="L9" s="4" t="str">
        <f aca="false">IF(OR(K9="",J9="",J9=0),"",ROUND(K9/J9,2))</f>
        <v/>
      </c>
      <c r="M9" s="4" t="str">
        <f aca="false">IF(OR(K9="",E9=""),"",IF(AND(K9&gt;=E9/159.29,K9&lt;=F9/159.29),"yes","no"))</f>
        <v/>
      </c>
      <c r="N9" s="4" t="s">
        <v>108</v>
      </c>
    </row>
    <row r="10" customFormat="false" ht="15" hidden="false" customHeight="false" outlineLevel="0" collapsed="false">
      <c r="A10" s="4" t="n">
        <v>9</v>
      </c>
      <c r="B10" s="4" t="s">
        <v>115</v>
      </c>
      <c r="C10" s="4" t="s">
        <v>107</v>
      </c>
      <c r="D10" s="4" t="n">
        <v>163</v>
      </c>
      <c r="E10" s="4" t="n">
        <v>41</v>
      </c>
      <c r="F10" s="4" t="n">
        <v>489</v>
      </c>
      <c r="G10" s="4"/>
      <c r="H10" s="4"/>
      <c r="I10" s="4" t="str">
        <f aca="false">IF(H10="","",ROUND(H10*10/3600,2))</f>
        <v/>
      </c>
      <c r="J10" s="4" t="n">
        <f aca="false">IF(D10="","",ROUND(D10/159.29,2))</f>
        <v>1.02</v>
      </c>
      <c r="K10" s="4" t="str">
        <f aca="false">IF(OR(G10="",H10="",H10=0),"",ROUND(G10/(H10*10/3600),2))</f>
        <v/>
      </c>
      <c r="L10" s="4" t="str">
        <f aca="false">IF(OR(K10="",J10="",J10=0),"",ROUND(K10/J10,2))</f>
        <v/>
      </c>
      <c r="M10" s="4" t="str">
        <f aca="false">IF(OR(K10="",E10=""),"",IF(AND(K10&gt;=E10/159.29,K10&lt;=F10/159.29),"yes","no"))</f>
        <v/>
      </c>
      <c r="N10" s="4" t="s">
        <v>108</v>
      </c>
    </row>
    <row r="11" customFormat="false" ht="15" hidden="false" customHeight="false" outlineLevel="0" collapsed="false">
      <c r="A11" s="4" t="n">
        <v>10</v>
      </c>
      <c r="B11" s="4" t="s">
        <v>62</v>
      </c>
      <c r="C11" s="4" t="s">
        <v>107</v>
      </c>
      <c r="D11" s="4" t="n">
        <v>192</v>
      </c>
      <c r="E11" s="4" t="n">
        <v>48</v>
      </c>
      <c r="F11" s="4" t="n">
        <v>576</v>
      </c>
      <c r="G11" s="7" t="n">
        <v>34</v>
      </c>
      <c r="H11" s="7" t="n">
        <v>3809</v>
      </c>
      <c r="I11" s="4" t="n">
        <f aca="false">IF(H11="","",ROUND(H11*10/3600,2))</f>
        <v>10.58</v>
      </c>
      <c r="J11" s="4" t="n">
        <f aca="false">IF(D11="","",ROUND(D11/159.29,2))</f>
        <v>1.21</v>
      </c>
      <c r="K11" s="4" t="n">
        <f aca="false">IF(OR(G11="",H11="",H11=0),"",ROUND(G11/(H11*10/3600),2))</f>
        <v>3.21</v>
      </c>
      <c r="L11" s="4" t="n">
        <f aca="false">IF(OR(K11="",J11="",J11=0),"",ROUND(K11/J11,2))</f>
        <v>2.65</v>
      </c>
      <c r="M11" s="4" t="str">
        <f aca="false">IF(OR(K11="",E11=""),"",IF(AND(K11&gt;=E11/159.29,K11&lt;=F11/159.29),"yes","no"))</f>
        <v>yes</v>
      </c>
      <c r="N11" s="4" t="s">
        <v>116</v>
      </c>
    </row>
    <row r="12" customFormat="false" ht="15" hidden="false" customHeight="false" outlineLevel="0" collapsed="false">
      <c r="A12" s="4" t="n">
        <v>11</v>
      </c>
      <c r="B12" s="4" t="s">
        <v>117</v>
      </c>
      <c r="C12" s="4" t="s">
        <v>107</v>
      </c>
      <c r="D12" s="4" t="n">
        <v>181</v>
      </c>
      <c r="E12" s="4" t="n">
        <v>45</v>
      </c>
      <c r="F12" s="4" t="n">
        <v>543</v>
      </c>
      <c r="G12" s="4"/>
      <c r="H12" s="4"/>
      <c r="I12" s="4" t="str">
        <f aca="false">IF(H12="","",ROUND(H12*10/3600,2))</f>
        <v/>
      </c>
      <c r="J12" s="4" t="n">
        <f aca="false">IF(D12="","",ROUND(D12/159.29,2))</f>
        <v>1.14</v>
      </c>
      <c r="K12" s="4" t="str">
        <f aca="false">IF(OR(G12="",H12="",H12=0),"",ROUND(G12/(H12*10/3600),2))</f>
        <v/>
      </c>
      <c r="L12" s="4" t="str">
        <f aca="false">IF(OR(K12="",J12="",J12=0),"",ROUND(K12/J12,2))</f>
        <v/>
      </c>
      <c r="M12" s="4" t="str">
        <f aca="false">IF(OR(K12="",E12=""),"",IF(AND(K12&gt;=E12/159.29,K12&lt;=F12/159.29),"yes","no"))</f>
        <v/>
      </c>
      <c r="N12" s="4" t="s">
        <v>108</v>
      </c>
    </row>
    <row r="13" customFormat="false" ht="15" hidden="false" customHeight="false" outlineLevel="0" collapsed="false">
      <c r="A13" s="4" t="n">
        <v>1</v>
      </c>
      <c r="B13" s="4" t="s">
        <v>106</v>
      </c>
      <c r="C13" s="4" t="s">
        <v>118</v>
      </c>
      <c r="D13" s="4" t="n">
        <v>317</v>
      </c>
      <c r="E13" s="4" t="n">
        <v>79</v>
      </c>
      <c r="F13" s="4" t="n">
        <v>951</v>
      </c>
      <c r="G13" s="4"/>
      <c r="H13" s="4"/>
      <c r="I13" s="4" t="str">
        <f aca="false">IF(H13="","",ROUND(H13*10/3600,2))</f>
        <v/>
      </c>
      <c r="J13" s="4" t="n">
        <f aca="false">IF(D13="","",ROUND(D13/150.89,2))</f>
        <v>2.1</v>
      </c>
      <c r="K13" s="4" t="str">
        <f aca="false">IF(OR(G13="",H13="",H13=0),"",ROUND(G13/(H13*10/3600),2))</f>
        <v/>
      </c>
      <c r="L13" s="4" t="str">
        <f aca="false">IF(OR(K13="",J13="",J13=0),"",ROUND(K13/J13,2))</f>
        <v/>
      </c>
      <c r="M13" s="4" t="str">
        <f aca="false">IF(OR(K13="",E13=""),"",IF(AND(K13&gt;=E13/150.89,K13&lt;=F13/150.89),"yes","no"))</f>
        <v/>
      </c>
      <c r="N13" s="4" t="s">
        <v>108</v>
      </c>
    </row>
    <row r="14" customFormat="false" ht="15" hidden="false" customHeight="false" outlineLevel="0" collapsed="false">
      <c r="A14" s="4" t="n">
        <v>2</v>
      </c>
      <c r="B14" s="4" t="s">
        <v>109</v>
      </c>
      <c r="C14" s="4" t="s">
        <v>118</v>
      </c>
      <c r="D14" s="4" t="n">
        <v>312</v>
      </c>
      <c r="E14" s="4" t="n">
        <v>78</v>
      </c>
      <c r="F14" s="4" t="n">
        <v>936</v>
      </c>
      <c r="G14" s="4"/>
      <c r="H14" s="4"/>
      <c r="I14" s="4" t="str">
        <f aca="false">IF(H14="","",ROUND(H14*10/3600,2))</f>
        <v/>
      </c>
      <c r="J14" s="4" t="n">
        <f aca="false">IF(D14="","",ROUND(D14/150.89,2))</f>
        <v>2.07</v>
      </c>
      <c r="K14" s="4" t="str">
        <f aca="false">IF(OR(G14="",H14="",H14=0),"",ROUND(G14/(H14*10/3600),2))</f>
        <v/>
      </c>
      <c r="L14" s="4" t="str">
        <f aca="false">IF(OR(K14="",J14="",J14=0),"",ROUND(K14/J14,2))</f>
        <v/>
      </c>
      <c r="M14" s="4" t="str">
        <f aca="false">IF(OR(K14="",E14=""),"",IF(AND(K14&gt;=E14/150.89,K14&lt;=F14/150.89),"yes","no"))</f>
        <v/>
      </c>
      <c r="N14" s="4" t="s">
        <v>108</v>
      </c>
    </row>
    <row r="15" customFormat="false" ht="15" hidden="false" customHeight="false" outlineLevel="0" collapsed="false">
      <c r="A15" s="4" t="n">
        <v>3</v>
      </c>
      <c r="B15" s="4" t="s">
        <v>51</v>
      </c>
      <c r="C15" s="4" t="s">
        <v>118</v>
      </c>
      <c r="D15" s="4" t="n">
        <v>371</v>
      </c>
      <c r="E15" s="4" t="n">
        <v>93</v>
      </c>
      <c r="F15" s="4" t="n">
        <v>1113</v>
      </c>
      <c r="G15" s="4"/>
      <c r="H15" s="4"/>
      <c r="I15" s="4" t="str">
        <f aca="false">IF(H15="","",ROUND(H15*10/3600,2))</f>
        <v/>
      </c>
      <c r="J15" s="4" t="n">
        <f aca="false">IF(D15="","",ROUND(D15/150.89,2))</f>
        <v>2.46</v>
      </c>
      <c r="K15" s="4" t="str">
        <f aca="false">IF(OR(G15="",H15="",H15=0),"",ROUND(G15/(H15*10/3600),2))</f>
        <v/>
      </c>
      <c r="L15" s="4" t="str">
        <f aca="false">IF(OR(K15="",J15="",J15=0),"",ROUND(K15/J15,2))</f>
        <v/>
      </c>
      <c r="M15" s="4" t="str">
        <f aca="false">IF(OR(K15="",E15=""),"",IF(AND(K15&gt;=E15/150.89,K15&lt;=F15/150.89),"yes","no"))</f>
        <v/>
      </c>
      <c r="N15" s="4" t="s">
        <v>110</v>
      </c>
    </row>
    <row r="16" customFormat="false" ht="15" hidden="false" customHeight="false" outlineLevel="0" collapsed="false">
      <c r="A16" s="4" t="n">
        <v>4</v>
      </c>
      <c r="B16" s="4" t="s">
        <v>111</v>
      </c>
      <c r="C16" s="4" t="s">
        <v>118</v>
      </c>
      <c r="D16" s="4" t="n">
        <v>381</v>
      </c>
      <c r="E16" s="4" t="n">
        <v>95</v>
      </c>
      <c r="F16" s="4" t="n">
        <v>1143</v>
      </c>
      <c r="G16" s="4"/>
      <c r="H16" s="4"/>
      <c r="I16" s="4" t="str">
        <f aca="false">IF(H16="","",ROUND(H16*10/3600,2))</f>
        <v/>
      </c>
      <c r="J16" s="4" t="n">
        <f aca="false">IF(D16="","",ROUND(D16/150.89,2))</f>
        <v>2.53</v>
      </c>
      <c r="K16" s="4" t="str">
        <f aca="false">IF(OR(G16="",H16="",H16=0),"",ROUND(G16/(H16*10/3600),2))</f>
        <v/>
      </c>
      <c r="L16" s="4" t="str">
        <f aca="false">IF(OR(K16="",J16="",J16=0),"",ROUND(K16/J16,2))</f>
        <v/>
      </c>
      <c r="M16" s="4" t="str">
        <f aca="false">IF(OR(K16="",E16=""),"",IF(AND(K16&gt;=E16/150.89,K16&lt;=F16/150.89),"yes","no"))</f>
        <v/>
      </c>
      <c r="N16" s="4" t="s">
        <v>108</v>
      </c>
    </row>
    <row r="17" customFormat="false" ht="15" hidden="false" customHeight="false" outlineLevel="0" collapsed="false">
      <c r="A17" s="4" t="n">
        <v>5</v>
      </c>
      <c r="B17" s="4" t="s">
        <v>112</v>
      </c>
      <c r="C17" s="4" t="s">
        <v>118</v>
      </c>
      <c r="D17" s="4" t="n">
        <v>444</v>
      </c>
      <c r="E17" s="4" t="n">
        <v>111</v>
      </c>
      <c r="F17" s="4" t="n">
        <v>1332</v>
      </c>
      <c r="G17" s="4"/>
      <c r="H17" s="4"/>
      <c r="I17" s="4" t="str">
        <f aca="false">IF(H17="","",ROUND(H17*10/3600,2))</f>
        <v/>
      </c>
      <c r="J17" s="4" t="n">
        <f aca="false">IF(D17="","",ROUND(D17/150.89,2))</f>
        <v>2.94</v>
      </c>
      <c r="K17" s="4" t="str">
        <f aca="false">IF(OR(G17="",H17="",H17=0),"",ROUND(G17/(H17*10/3600),2))</f>
        <v/>
      </c>
      <c r="L17" s="4" t="str">
        <f aca="false">IF(OR(K17="",J17="",J17=0),"",ROUND(K17/J17,2))</f>
        <v/>
      </c>
      <c r="M17" s="4" t="str">
        <f aca="false">IF(OR(K17="",E17=""),"",IF(AND(K17&gt;=E17/150.89,K17&lt;=F17/150.89),"yes","no"))</f>
        <v/>
      </c>
      <c r="N17" s="4" t="s">
        <v>108</v>
      </c>
    </row>
    <row r="18" customFormat="false" ht="15" hidden="false" customHeight="false" outlineLevel="0" collapsed="false">
      <c r="A18" s="4" t="n">
        <v>6</v>
      </c>
      <c r="B18" s="4" t="s">
        <v>113</v>
      </c>
      <c r="C18" s="4" t="s">
        <v>118</v>
      </c>
      <c r="D18" s="4" t="n">
        <v>333</v>
      </c>
      <c r="E18" s="4" t="n">
        <v>83</v>
      </c>
      <c r="F18" s="4" t="n">
        <v>999</v>
      </c>
      <c r="G18" s="4"/>
      <c r="H18" s="4"/>
      <c r="I18" s="4" t="str">
        <f aca="false">IF(H18="","",ROUND(H18*10/3600,2))</f>
        <v/>
      </c>
      <c r="J18" s="4" t="n">
        <f aca="false">IF(D18="","",ROUND(D18/150.89,2))</f>
        <v>2.21</v>
      </c>
      <c r="K18" s="4" t="str">
        <f aca="false">IF(OR(G18="",H18="",H18=0),"",ROUND(G18/(H18*10/3600),2))</f>
        <v/>
      </c>
      <c r="L18" s="4" t="str">
        <f aca="false">IF(OR(K18="",J18="",J18=0),"",ROUND(K18/J18,2))</f>
        <v/>
      </c>
      <c r="M18" s="4" t="str">
        <f aca="false">IF(OR(K18="",E18=""),"",IF(AND(K18&gt;=E18/150.89,K18&lt;=F18/150.89),"yes","no"))</f>
        <v/>
      </c>
      <c r="N18" s="4" t="s">
        <v>108</v>
      </c>
    </row>
    <row r="19" customFormat="false" ht="15" hidden="false" customHeight="false" outlineLevel="0" collapsed="false">
      <c r="A19" s="4" t="n">
        <v>7</v>
      </c>
      <c r="B19" s="4" t="s">
        <v>58</v>
      </c>
      <c r="C19" s="4" t="s">
        <v>118</v>
      </c>
      <c r="D19" s="4" t="n">
        <v>388</v>
      </c>
      <c r="E19" s="4" t="n">
        <v>97</v>
      </c>
      <c r="F19" s="4" t="n">
        <v>1164</v>
      </c>
      <c r="G19" s="7" t="n">
        <v>25</v>
      </c>
      <c r="H19" s="7" t="n">
        <v>1053</v>
      </c>
      <c r="I19" s="4" t="n">
        <f aca="false">IF(H19="","",ROUND(H19*10/3600,2))</f>
        <v>2.93</v>
      </c>
      <c r="J19" s="4" t="n">
        <f aca="false">IF(D19="","",ROUND(D19/150.89,2))</f>
        <v>2.57</v>
      </c>
      <c r="K19" s="4" t="n">
        <f aca="false">IF(OR(G19="",H19="",H19=0),"",ROUND(G19/(H19*10/3600),2))</f>
        <v>8.55</v>
      </c>
      <c r="L19" s="4" t="n">
        <f aca="false">IF(OR(K19="",J19="",J19=0),"",ROUND(K19/J19,2))</f>
        <v>3.33</v>
      </c>
      <c r="M19" s="4" t="str">
        <f aca="false">IF(OR(K19="",E19=""),"",IF(AND(K19&gt;=E19/150.89,K19&lt;=F19/150.89),"yes","no"))</f>
        <v>no</v>
      </c>
      <c r="N19" s="4" t="s">
        <v>119</v>
      </c>
    </row>
    <row r="20" customFormat="false" ht="15" hidden="false" customHeight="false" outlineLevel="0" collapsed="false">
      <c r="A20" s="4" t="n">
        <v>8</v>
      </c>
      <c r="B20" s="4" t="s">
        <v>114</v>
      </c>
      <c r="C20" s="4" t="s">
        <v>118</v>
      </c>
      <c r="D20" s="4" t="n">
        <v>273</v>
      </c>
      <c r="E20" s="4" t="n">
        <v>68</v>
      </c>
      <c r="F20" s="4" t="n">
        <v>819</v>
      </c>
      <c r="G20" s="4"/>
      <c r="H20" s="4"/>
      <c r="I20" s="4" t="str">
        <f aca="false">IF(H20="","",ROUND(H20*10/3600,2))</f>
        <v/>
      </c>
      <c r="J20" s="4" t="n">
        <f aca="false">IF(D20="","",ROUND(D20/150.89,2))</f>
        <v>1.81</v>
      </c>
      <c r="K20" s="4" t="str">
        <f aca="false">IF(OR(G20="",H20="",H20=0),"",ROUND(G20/(H20*10/3600),2))</f>
        <v/>
      </c>
      <c r="L20" s="4" t="str">
        <f aca="false">IF(OR(K20="",J20="",J20=0),"",ROUND(K20/J20,2))</f>
        <v/>
      </c>
      <c r="M20" s="4" t="str">
        <f aca="false">IF(OR(K20="",E20=""),"",IF(AND(K20&gt;=E20/150.89,K20&lt;=F20/150.89),"yes","no"))</f>
        <v/>
      </c>
      <c r="N20" s="4" t="s">
        <v>108</v>
      </c>
    </row>
    <row r="21" customFormat="false" ht="15" hidden="false" customHeight="false" outlineLevel="0" collapsed="false">
      <c r="A21" s="4" t="n">
        <v>9</v>
      </c>
      <c r="B21" s="4" t="s">
        <v>115</v>
      </c>
      <c r="C21" s="4" t="s">
        <v>118</v>
      </c>
      <c r="D21" s="4" t="n">
        <v>230</v>
      </c>
      <c r="E21" s="4" t="n">
        <v>58</v>
      </c>
      <c r="F21" s="4" t="n">
        <v>690</v>
      </c>
      <c r="G21" s="4"/>
      <c r="H21" s="4"/>
      <c r="I21" s="4" t="str">
        <f aca="false">IF(H21="","",ROUND(H21*10/3600,2))</f>
        <v/>
      </c>
      <c r="J21" s="4" t="n">
        <f aca="false">IF(D21="","",ROUND(D21/150.89,2))</f>
        <v>1.52</v>
      </c>
      <c r="K21" s="4" t="str">
        <f aca="false">IF(OR(G21="",H21="",H21=0),"",ROUND(G21/(H21*10/3600),2))</f>
        <v/>
      </c>
      <c r="L21" s="4" t="str">
        <f aca="false">IF(OR(K21="",J21="",J21=0),"",ROUND(K21/J21,2))</f>
        <v/>
      </c>
      <c r="M21" s="4" t="str">
        <f aca="false">IF(OR(K21="",E21=""),"",IF(AND(K21&gt;=E21/150.89,K21&lt;=F21/150.89),"yes","no"))</f>
        <v/>
      </c>
      <c r="N21" s="4" t="s">
        <v>108</v>
      </c>
    </row>
    <row r="22" customFormat="false" ht="15" hidden="false" customHeight="false" outlineLevel="0" collapsed="false">
      <c r="A22" s="4" t="n">
        <v>10</v>
      </c>
      <c r="B22" s="4" t="s">
        <v>62</v>
      </c>
      <c r="C22" s="4" t="s">
        <v>118</v>
      </c>
      <c r="D22" s="4" t="n">
        <v>284</v>
      </c>
      <c r="E22" s="4" t="n">
        <v>71</v>
      </c>
      <c r="F22" s="4" t="n">
        <v>852</v>
      </c>
      <c r="G22" s="7" t="n">
        <v>30</v>
      </c>
      <c r="H22" s="7" t="n">
        <v>2637</v>
      </c>
      <c r="I22" s="4" t="n">
        <f aca="false">IF(H22="","",ROUND(H22*10/3600,2))</f>
        <v>7.33</v>
      </c>
      <c r="J22" s="4" t="n">
        <f aca="false">IF(D22="","",ROUND(D22/150.89,2))</f>
        <v>1.88</v>
      </c>
      <c r="K22" s="4" t="n">
        <f aca="false">IF(OR(G22="",H22="",H22=0),"",ROUND(G22/(H22*10/3600),2))</f>
        <v>4.1</v>
      </c>
      <c r="L22" s="4" t="n">
        <f aca="false">IF(OR(K22="",J22="",J22=0),"",ROUND(K22/J22,2))</f>
        <v>2.18</v>
      </c>
      <c r="M22" s="4" t="str">
        <f aca="false">IF(OR(K22="",E22=""),"",IF(AND(K22&gt;=E22/150.89,K22&lt;=F22/150.89),"yes","no"))</f>
        <v>yes</v>
      </c>
      <c r="N22" s="4" t="s">
        <v>119</v>
      </c>
    </row>
    <row r="23" customFormat="false" ht="15" hidden="false" customHeight="false" outlineLevel="0" collapsed="false">
      <c r="A23" s="4" t="n">
        <v>11</v>
      </c>
      <c r="B23" s="4" t="s">
        <v>117</v>
      </c>
      <c r="C23" s="4" t="s">
        <v>118</v>
      </c>
      <c r="D23" s="4" t="n">
        <v>300</v>
      </c>
      <c r="E23" s="4" t="n">
        <v>75</v>
      </c>
      <c r="F23" s="4" t="n">
        <v>900</v>
      </c>
      <c r="G23" s="4"/>
      <c r="H23" s="4"/>
      <c r="I23" s="4" t="str">
        <f aca="false">IF(H23="","",ROUND(H23*10/3600,2))</f>
        <v/>
      </c>
      <c r="J23" s="4" t="n">
        <f aca="false">IF(D23="","",ROUND(D23/150.89,2))</f>
        <v>1.99</v>
      </c>
      <c r="K23" s="4" t="str">
        <f aca="false">IF(OR(G23="",H23="",H23=0),"",ROUND(G23/(H23*10/3600),2))</f>
        <v/>
      </c>
      <c r="L23" s="4" t="str">
        <f aca="false">IF(OR(K23="",J23="",J23=0),"",ROUND(K23/J23,2))</f>
        <v/>
      </c>
      <c r="M23" s="4" t="str">
        <f aca="false">IF(OR(K23="",E23=""),"",IF(AND(K23&gt;=E23/150.89,K23&lt;=F23/150.89),"yes","no"))</f>
        <v/>
      </c>
      <c r="N23" s="4" t="s">
        <v>108</v>
      </c>
    </row>
    <row r="24" customFormat="false" ht="15" hidden="false" customHeight="false" outlineLevel="0" collapsed="false">
      <c r="A24" s="4" t="n">
        <v>1</v>
      </c>
      <c r="B24" s="4" t="s">
        <v>106</v>
      </c>
      <c r="C24" s="4" t="s">
        <v>120</v>
      </c>
      <c r="D24" s="4" t="n">
        <v>263</v>
      </c>
      <c r="E24" s="4" t="n">
        <v>66</v>
      </c>
      <c r="F24" s="4" t="n">
        <v>789</v>
      </c>
      <c r="G24" s="4"/>
      <c r="H24" s="4"/>
      <c r="I24" s="4" t="str">
        <f aca="false">IF(H24="","",ROUND(H24*10/3600,2))</f>
        <v/>
      </c>
      <c r="J24" s="4" t="n">
        <f aca="false">IF(D24="","",ROUND(D24/143.15,2))</f>
        <v>1.84</v>
      </c>
      <c r="K24" s="4" t="str">
        <f aca="false">IF(OR(G24="",H24="",H24=0),"",ROUND(G24/(H24*10/3600),2))</f>
        <v/>
      </c>
      <c r="L24" s="4" t="str">
        <f aca="false">IF(OR(K24="",J24="",J24=0),"",ROUND(K24/J24,2))</f>
        <v/>
      </c>
      <c r="M24" s="4" t="str">
        <f aca="false">IF(OR(K24="",E24=""),"",IF(AND(K24&gt;=E24/143.15,K24&lt;=F24/143.15),"yes","no"))</f>
        <v/>
      </c>
      <c r="N24" s="4" t="s">
        <v>108</v>
      </c>
    </row>
    <row r="25" customFormat="false" ht="15" hidden="false" customHeight="false" outlineLevel="0" collapsed="false">
      <c r="A25" s="4" t="n">
        <v>2</v>
      </c>
      <c r="B25" s="4" t="s">
        <v>109</v>
      </c>
      <c r="C25" s="4" t="s">
        <v>120</v>
      </c>
      <c r="D25" s="4" t="n">
        <v>286</v>
      </c>
      <c r="E25" s="4" t="n">
        <v>72</v>
      </c>
      <c r="F25" s="4" t="n">
        <v>858</v>
      </c>
      <c r="G25" s="4"/>
      <c r="H25" s="4"/>
      <c r="I25" s="4" t="str">
        <f aca="false">IF(H25="","",ROUND(H25*10/3600,2))</f>
        <v/>
      </c>
      <c r="J25" s="4" t="n">
        <f aca="false">IF(D25="","",ROUND(D25/143.15,2))</f>
        <v>2</v>
      </c>
      <c r="K25" s="4" t="str">
        <f aca="false">IF(OR(G25="",H25="",H25=0),"",ROUND(G25/(H25*10/3600),2))</f>
        <v/>
      </c>
      <c r="L25" s="4" t="str">
        <f aca="false">IF(OR(K25="",J25="",J25=0),"",ROUND(K25/J25,2))</f>
        <v/>
      </c>
      <c r="M25" s="4" t="str">
        <f aca="false">IF(OR(K25="",E25=""),"",IF(AND(K25&gt;=E25/143.15,K25&lt;=F25/143.15),"yes","no"))</f>
        <v/>
      </c>
      <c r="N25" s="4" t="s">
        <v>108</v>
      </c>
    </row>
    <row r="26" customFormat="false" ht="15" hidden="false" customHeight="false" outlineLevel="0" collapsed="false">
      <c r="A26" s="4" t="n">
        <v>3</v>
      </c>
      <c r="B26" s="4" t="s">
        <v>51</v>
      </c>
      <c r="C26" s="4" t="s">
        <v>120</v>
      </c>
      <c r="D26" s="4" t="n">
        <v>305</v>
      </c>
      <c r="E26" s="4" t="n">
        <v>76</v>
      </c>
      <c r="F26" s="4" t="n">
        <v>915</v>
      </c>
      <c r="G26" s="4"/>
      <c r="H26" s="4"/>
      <c r="I26" s="4" t="str">
        <f aca="false">IF(H26="","",ROUND(H26*10/3600,2))</f>
        <v/>
      </c>
      <c r="J26" s="4" t="n">
        <f aca="false">IF(D26="","",ROUND(D26/143.15,2))</f>
        <v>2.13</v>
      </c>
      <c r="K26" s="4" t="str">
        <f aca="false">IF(OR(G26="",H26="",H26=0),"",ROUND(G26/(H26*10/3600),2))</f>
        <v/>
      </c>
      <c r="L26" s="4" t="str">
        <f aca="false">IF(OR(K26="",J26="",J26=0),"",ROUND(K26/J26,2))</f>
        <v/>
      </c>
      <c r="M26" s="4" t="str">
        <f aca="false">IF(OR(K26="",E26=""),"",IF(AND(K26&gt;=E26/143.15,K26&lt;=F26/143.15),"yes","no"))</f>
        <v/>
      </c>
      <c r="N26" s="4" t="s">
        <v>110</v>
      </c>
    </row>
    <row r="27" customFormat="false" ht="15" hidden="false" customHeight="false" outlineLevel="0" collapsed="false">
      <c r="A27" s="4" t="n">
        <v>4</v>
      </c>
      <c r="B27" s="4" t="s">
        <v>111</v>
      </c>
      <c r="C27" s="4" t="s">
        <v>120</v>
      </c>
      <c r="D27" s="4" t="n">
        <v>328</v>
      </c>
      <c r="E27" s="4" t="n">
        <v>82</v>
      </c>
      <c r="F27" s="4" t="n">
        <v>984</v>
      </c>
      <c r="G27" s="4"/>
      <c r="H27" s="4"/>
      <c r="I27" s="4" t="str">
        <f aca="false">IF(H27="","",ROUND(H27*10/3600,2))</f>
        <v/>
      </c>
      <c r="J27" s="4" t="n">
        <f aca="false">IF(D27="","",ROUND(D27/143.15,2))</f>
        <v>2.29</v>
      </c>
      <c r="K27" s="4" t="str">
        <f aca="false">IF(OR(G27="",H27="",H27=0),"",ROUND(G27/(H27*10/3600),2))</f>
        <v/>
      </c>
      <c r="L27" s="4" t="str">
        <f aca="false">IF(OR(K27="",J27="",J27=0),"",ROUND(K27/J27,2))</f>
        <v/>
      </c>
      <c r="M27" s="4" t="str">
        <f aca="false">IF(OR(K27="",E27=""),"",IF(AND(K27&gt;=E27/143.15,K27&lt;=F27/143.15),"yes","no"))</f>
        <v/>
      </c>
      <c r="N27" s="4" t="s">
        <v>108</v>
      </c>
    </row>
    <row r="28" customFormat="false" ht="15" hidden="false" customHeight="false" outlineLevel="0" collapsed="false">
      <c r="A28" s="4" t="n">
        <v>5</v>
      </c>
      <c r="B28" s="4" t="s">
        <v>112</v>
      </c>
      <c r="C28" s="4" t="s">
        <v>120</v>
      </c>
      <c r="D28" s="4" t="n">
        <v>362</v>
      </c>
      <c r="E28" s="4" t="n">
        <v>91</v>
      </c>
      <c r="F28" s="4" t="n">
        <v>1086</v>
      </c>
      <c r="G28" s="4"/>
      <c r="H28" s="4"/>
      <c r="I28" s="4" t="str">
        <f aca="false">IF(H28="","",ROUND(H28*10/3600,2))</f>
        <v/>
      </c>
      <c r="J28" s="4" t="n">
        <f aca="false">IF(D28="","",ROUND(D28/143.15,2))</f>
        <v>2.53</v>
      </c>
      <c r="K28" s="4" t="str">
        <f aca="false">IF(OR(G28="",H28="",H28=0),"",ROUND(G28/(H28*10/3600),2))</f>
        <v/>
      </c>
      <c r="L28" s="4" t="str">
        <f aca="false">IF(OR(K28="",J28="",J28=0),"",ROUND(K28/J28,2))</f>
        <v/>
      </c>
      <c r="M28" s="4" t="str">
        <f aca="false">IF(OR(K28="",E28=""),"",IF(AND(K28&gt;=E28/143.15,K28&lt;=F28/143.15),"yes","no"))</f>
        <v/>
      </c>
      <c r="N28" s="4" t="s">
        <v>108</v>
      </c>
    </row>
    <row r="29" customFormat="false" ht="15" hidden="false" customHeight="false" outlineLevel="0" collapsed="false">
      <c r="A29" s="4" t="n">
        <v>6</v>
      </c>
      <c r="B29" s="4" t="s">
        <v>113</v>
      </c>
      <c r="C29" s="4" t="s">
        <v>120</v>
      </c>
      <c r="D29" s="4" t="n">
        <v>280</v>
      </c>
      <c r="E29" s="4" t="n">
        <v>70</v>
      </c>
      <c r="F29" s="4" t="n">
        <v>840</v>
      </c>
      <c r="G29" s="4"/>
      <c r="H29" s="4"/>
      <c r="I29" s="4" t="str">
        <f aca="false">IF(H29="","",ROUND(H29*10/3600,2))</f>
        <v/>
      </c>
      <c r="J29" s="4" t="n">
        <f aca="false">IF(D29="","",ROUND(D29/143.15,2))</f>
        <v>1.96</v>
      </c>
      <c r="K29" s="4" t="str">
        <f aca="false">IF(OR(G29="",H29="",H29=0),"",ROUND(G29/(H29*10/3600),2))</f>
        <v/>
      </c>
      <c r="L29" s="4" t="str">
        <f aca="false">IF(OR(K29="",J29="",J29=0),"",ROUND(K29/J29,2))</f>
        <v/>
      </c>
      <c r="M29" s="4" t="str">
        <f aca="false">IF(OR(K29="",E29=""),"",IF(AND(K29&gt;=E29/143.15,K29&lt;=F29/143.15),"yes","no"))</f>
        <v/>
      </c>
      <c r="N29" s="4" t="s">
        <v>108</v>
      </c>
    </row>
    <row r="30" customFormat="false" ht="15" hidden="false" customHeight="false" outlineLevel="0" collapsed="false">
      <c r="A30" s="4" t="n">
        <v>7</v>
      </c>
      <c r="B30" s="4" t="s">
        <v>58</v>
      </c>
      <c r="C30" s="4" t="s">
        <v>120</v>
      </c>
      <c r="D30" s="4" t="n">
        <v>323</v>
      </c>
      <c r="E30" s="4" t="n">
        <v>81</v>
      </c>
      <c r="F30" s="4" t="n">
        <v>969</v>
      </c>
      <c r="G30" s="4"/>
      <c r="H30" s="4"/>
      <c r="I30" s="4" t="str">
        <f aca="false">IF(H30="","",ROUND(H30*10/3600,2))</f>
        <v/>
      </c>
      <c r="J30" s="4" t="n">
        <f aca="false">IF(D30="","",ROUND(D30/143.15,2))</f>
        <v>2.26</v>
      </c>
      <c r="K30" s="4" t="str">
        <f aca="false">IF(OR(G30="",H30="",H30=0),"",ROUND(G30/(H30*10/3600),2))</f>
        <v/>
      </c>
      <c r="L30" s="4" t="str">
        <f aca="false">IF(OR(K30="",J30="",J30=0),"",ROUND(K30/J30,2))</f>
        <v/>
      </c>
      <c r="M30" s="4" t="str">
        <f aca="false">IF(OR(K30="",E30=""),"",IF(AND(K30&gt;=E30/143.15,K30&lt;=F30/143.15),"yes","no"))</f>
        <v/>
      </c>
      <c r="N30" s="4" t="s">
        <v>110</v>
      </c>
    </row>
    <row r="31" customFormat="false" ht="15" hidden="false" customHeight="false" outlineLevel="0" collapsed="false">
      <c r="A31" s="4" t="n">
        <v>8</v>
      </c>
      <c r="B31" s="4" t="s">
        <v>114</v>
      </c>
      <c r="C31" s="4" t="s">
        <v>120</v>
      </c>
      <c r="D31" s="4" t="n">
        <v>231</v>
      </c>
      <c r="E31" s="4" t="n">
        <v>58</v>
      </c>
      <c r="F31" s="4" t="n">
        <v>693</v>
      </c>
      <c r="G31" s="4"/>
      <c r="H31" s="4"/>
      <c r="I31" s="4" t="str">
        <f aca="false">IF(H31="","",ROUND(H31*10/3600,2))</f>
        <v/>
      </c>
      <c r="J31" s="4" t="n">
        <f aca="false">IF(D31="","",ROUND(D31/143.15,2))</f>
        <v>1.61</v>
      </c>
      <c r="K31" s="4" t="str">
        <f aca="false">IF(OR(G31="",H31="",H31=0),"",ROUND(G31/(H31*10/3600),2))</f>
        <v/>
      </c>
      <c r="L31" s="4" t="str">
        <f aca="false">IF(OR(K31="",J31="",J31=0),"",ROUND(K31/J31,2))</f>
        <v/>
      </c>
      <c r="M31" s="4" t="str">
        <f aca="false">IF(OR(K31="",E31=""),"",IF(AND(K31&gt;=E31/143.15,K31&lt;=F31/143.15),"yes","no"))</f>
        <v/>
      </c>
      <c r="N31" s="4" t="s">
        <v>108</v>
      </c>
    </row>
    <row r="32" customFormat="false" ht="15" hidden="false" customHeight="false" outlineLevel="0" collapsed="false">
      <c r="A32" s="4" t="n">
        <v>9</v>
      </c>
      <c r="B32" s="4" t="s">
        <v>115</v>
      </c>
      <c r="C32" s="4" t="s">
        <v>120</v>
      </c>
      <c r="D32" s="4" t="n">
        <v>177</v>
      </c>
      <c r="E32" s="4" t="n">
        <v>44</v>
      </c>
      <c r="F32" s="4" t="n">
        <v>531</v>
      </c>
      <c r="G32" s="4"/>
      <c r="H32" s="4"/>
      <c r="I32" s="4" t="str">
        <f aca="false">IF(H32="","",ROUND(H32*10/3600,2))</f>
        <v/>
      </c>
      <c r="J32" s="4" t="n">
        <f aca="false">IF(D32="","",ROUND(D32/143.15,2))</f>
        <v>1.24</v>
      </c>
      <c r="K32" s="4" t="str">
        <f aca="false">IF(OR(G32="",H32="",H32=0),"",ROUND(G32/(H32*10/3600),2))</f>
        <v/>
      </c>
      <c r="L32" s="4" t="str">
        <f aca="false">IF(OR(K32="",J32="",J32=0),"",ROUND(K32/J32,2))</f>
        <v/>
      </c>
      <c r="M32" s="4" t="str">
        <f aca="false">IF(OR(K32="",E32=""),"",IF(AND(K32&gt;=E32/143.15,K32&lt;=F32/143.15),"yes","no"))</f>
        <v/>
      </c>
      <c r="N32" s="4" t="s">
        <v>108</v>
      </c>
    </row>
    <row r="33" customFormat="false" ht="15" hidden="false" customHeight="false" outlineLevel="0" collapsed="false">
      <c r="A33" s="4" t="n">
        <v>10</v>
      </c>
      <c r="B33" s="4" t="s">
        <v>62</v>
      </c>
      <c r="C33" s="4" t="s">
        <v>120</v>
      </c>
      <c r="D33" s="4" t="n">
        <v>233</v>
      </c>
      <c r="E33" s="4" t="n">
        <v>58</v>
      </c>
      <c r="F33" s="4" t="n">
        <v>699</v>
      </c>
      <c r="G33" s="4"/>
      <c r="H33" s="4"/>
      <c r="I33" s="4" t="str">
        <f aca="false">IF(H33="","",ROUND(H33*10/3600,2))</f>
        <v/>
      </c>
      <c r="J33" s="4" t="n">
        <f aca="false">IF(D33="","",ROUND(D33/143.15,2))</f>
        <v>1.63</v>
      </c>
      <c r="K33" s="4" t="str">
        <f aca="false">IF(OR(G33="",H33="",H33=0),"",ROUND(G33/(H33*10/3600),2))</f>
        <v/>
      </c>
      <c r="L33" s="4" t="str">
        <f aca="false">IF(OR(K33="",J33="",J33=0),"",ROUND(K33/J33,2))</f>
        <v/>
      </c>
      <c r="M33" s="4" t="str">
        <f aca="false">IF(OR(K33="",E33=""),"",IF(AND(K33&gt;=E33/143.15,K33&lt;=F33/143.15),"yes","no"))</f>
        <v/>
      </c>
      <c r="N33" s="4" t="s">
        <v>110</v>
      </c>
    </row>
    <row r="34" customFormat="false" ht="15" hidden="false" customHeight="false" outlineLevel="0" collapsed="false">
      <c r="A34" s="4" t="n">
        <v>11</v>
      </c>
      <c r="B34" s="4" t="s">
        <v>117</v>
      </c>
      <c r="C34" s="4" t="s">
        <v>120</v>
      </c>
      <c r="D34" s="4" t="n">
        <v>260</v>
      </c>
      <c r="E34" s="4" t="n">
        <v>65</v>
      </c>
      <c r="F34" s="4" t="n">
        <v>780</v>
      </c>
      <c r="G34" s="4"/>
      <c r="H34" s="4"/>
      <c r="I34" s="4" t="str">
        <f aca="false">IF(H34="","",ROUND(H34*10/3600,2))</f>
        <v/>
      </c>
      <c r="J34" s="4" t="n">
        <f aca="false">IF(D34="","",ROUND(D34/143.15,2))</f>
        <v>1.82</v>
      </c>
      <c r="K34" s="4" t="str">
        <f aca="false">IF(OR(G34="",H34="",H34=0),"",ROUND(G34/(H34*10/3600),2))</f>
        <v/>
      </c>
      <c r="L34" s="4" t="str">
        <f aca="false">IF(OR(K34="",J34="",J34=0),"",ROUND(K34/J34,2))</f>
        <v/>
      </c>
      <c r="M34" s="4" t="str">
        <f aca="false">IF(OR(K34="",E34=""),"",IF(AND(K34&gt;=E34/143.15,K34&lt;=F34/143.15),"yes","no"))</f>
        <v/>
      </c>
      <c r="N34" s="4" t="s">
        <v>108</v>
      </c>
    </row>
    <row r="36" customFormat="false" ht="15" hidden="false" customHeight="false" outlineLevel="0" collapsed="false">
      <c r="A36" s="6" t="s">
        <v>121</v>
      </c>
    </row>
    <row r="37" customFormat="false" ht="15" hidden="false" customHeight="false" outlineLevel="0" collapsed="false">
      <c r="A37" s="6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7" min="6" style="0" width="12"/>
    <col collapsed="false" customWidth="true" hidden="false" outlineLevel="0" max="8" min="8" style="0" width="10"/>
    <col collapsed="false" customWidth="true" hidden="false" outlineLevel="0" max="11" min="9" style="0" width="14"/>
    <col collapsed="false" customWidth="true" hidden="false" outlineLevel="0" max="12" min="12" style="0" width="12"/>
  </cols>
  <sheetData>
    <row r="1" customFormat="false" ht="23.85" hidden="false" customHeight="false" outlineLevel="0" collapsed="false">
      <c r="A1" s="3" t="s">
        <v>123</v>
      </c>
      <c r="B1" s="3" t="s">
        <v>124</v>
      </c>
      <c r="C1" s="3" t="s">
        <v>125</v>
      </c>
      <c r="D1" s="3" t="s">
        <v>126</v>
      </c>
      <c r="E1" s="3" t="s">
        <v>127</v>
      </c>
      <c r="F1" s="3" t="s">
        <v>128</v>
      </c>
      <c r="G1" s="3" t="s">
        <v>129</v>
      </c>
      <c r="H1" s="3" t="s">
        <v>130</v>
      </c>
      <c r="I1" s="3" t="s">
        <v>131</v>
      </c>
      <c r="J1" s="3" t="s">
        <v>132</v>
      </c>
      <c r="K1" s="3" t="s">
        <v>133</v>
      </c>
      <c r="L1" s="3" t="s">
        <v>134</v>
      </c>
    </row>
    <row r="2" customFormat="false" ht="15" hidden="false" customHeight="false" outlineLevel="0" collapsed="false">
      <c r="A2" s="4" t="n">
        <v>1</v>
      </c>
      <c r="B2" s="4" t="s">
        <v>106</v>
      </c>
      <c r="C2" s="4" t="n">
        <v>39.80106</v>
      </c>
      <c r="D2" s="4" t="n">
        <v>-104.95935</v>
      </c>
      <c r="E2" s="4" t="s">
        <v>107</v>
      </c>
      <c r="F2" s="4" t="s">
        <v>135</v>
      </c>
      <c r="G2" s="4" t="s">
        <v>136</v>
      </c>
      <c r="H2" s="4"/>
      <c r="I2" s="4"/>
      <c r="J2" s="4"/>
      <c r="K2" s="4"/>
      <c r="L2" s="4"/>
    </row>
    <row r="3" customFormat="false" ht="15" hidden="false" customHeight="false" outlineLevel="0" collapsed="false">
      <c r="A3" s="4" t="n">
        <v>2</v>
      </c>
      <c r="B3" s="4" t="s">
        <v>109</v>
      </c>
      <c r="C3" s="4" t="n">
        <v>39.78851</v>
      </c>
      <c r="D3" s="4" t="n">
        <v>-104.97271</v>
      </c>
      <c r="E3" s="4" t="s">
        <v>107</v>
      </c>
      <c r="F3" s="4" t="s">
        <v>135</v>
      </c>
      <c r="G3" s="4" t="s">
        <v>136</v>
      </c>
      <c r="H3" s="4"/>
      <c r="I3" s="4"/>
      <c r="J3" s="4"/>
      <c r="K3" s="4"/>
      <c r="L3" s="4"/>
    </row>
    <row r="4" customFormat="false" ht="15" hidden="false" customHeight="false" outlineLevel="0" collapsed="false">
      <c r="A4" s="4" t="n">
        <v>3</v>
      </c>
      <c r="B4" s="4" t="s">
        <v>51</v>
      </c>
      <c r="C4" s="4" t="n">
        <v>39.76766</v>
      </c>
      <c r="D4" s="4" t="n">
        <v>-104.98496</v>
      </c>
      <c r="E4" s="4" t="s">
        <v>107</v>
      </c>
      <c r="F4" s="4" t="s">
        <v>135</v>
      </c>
      <c r="G4" s="4" t="s">
        <v>136</v>
      </c>
      <c r="H4" s="4"/>
      <c r="I4" s="4"/>
      <c r="J4" s="4"/>
      <c r="K4" s="4"/>
      <c r="L4" s="4"/>
    </row>
    <row r="5" customFormat="false" ht="15" hidden="false" customHeight="false" outlineLevel="0" collapsed="false">
      <c r="A5" s="4" t="n">
        <v>4</v>
      </c>
      <c r="B5" s="4" t="s">
        <v>111</v>
      </c>
      <c r="C5" s="4" t="n">
        <v>39.7605</v>
      </c>
      <c r="D5" s="4" t="n">
        <v>-105.00365</v>
      </c>
      <c r="E5" s="4" t="s">
        <v>107</v>
      </c>
      <c r="F5" s="4" t="s">
        <v>135</v>
      </c>
      <c r="G5" s="4" t="s">
        <v>136</v>
      </c>
      <c r="H5" s="4"/>
      <c r="I5" s="4"/>
      <c r="J5" s="4"/>
      <c r="K5" s="4"/>
      <c r="L5" s="4"/>
    </row>
    <row r="6" customFormat="false" ht="15" hidden="false" customHeight="false" outlineLevel="0" collapsed="false">
      <c r="A6" s="4" t="n">
        <v>5</v>
      </c>
      <c r="B6" s="4" t="s">
        <v>112</v>
      </c>
      <c r="C6" s="4" t="n">
        <v>39.7555</v>
      </c>
      <c r="D6" s="4" t="n">
        <v>-105.00788</v>
      </c>
      <c r="E6" s="4" t="s">
        <v>107</v>
      </c>
      <c r="F6" s="4" t="s">
        <v>135</v>
      </c>
      <c r="G6" s="4" t="s">
        <v>136</v>
      </c>
      <c r="H6" s="4"/>
      <c r="I6" s="4"/>
      <c r="J6" s="4"/>
      <c r="K6" s="4"/>
      <c r="L6" s="4"/>
    </row>
    <row r="7" customFormat="false" ht="15" hidden="false" customHeight="false" outlineLevel="0" collapsed="false">
      <c r="A7" s="4" t="n">
        <v>6</v>
      </c>
      <c r="B7" s="4" t="s">
        <v>113</v>
      </c>
      <c r="C7" s="4" t="n">
        <v>39.75443</v>
      </c>
      <c r="D7" s="4" t="n">
        <v>-105.01026</v>
      </c>
      <c r="E7" s="4" t="s">
        <v>107</v>
      </c>
      <c r="F7" s="4" t="s">
        <v>135</v>
      </c>
      <c r="G7" s="4" t="s">
        <v>136</v>
      </c>
      <c r="H7" s="4"/>
      <c r="I7" s="4"/>
      <c r="J7" s="4"/>
      <c r="K7" s="4"/>
      <c r="L7" s="4"/>
    </row>
    <row r="8" customFormat="false" ht="15" hidden="false" customHeight="false" outlineLevel="0" collapsed="false">
      <c r="A8" s="4" t="n">
        <v>7</v>
      </c>
      <c r="B8" s="4" t="s">
        <v>58</v>
      </c>
      <c r="C8" s="4" t="n">
        <v>39.73998</v>
      </c>
      <c r="D8" s="4" t="n">
        <v>-105.01789</v>
      </c>
      <c r="E8" s="4" t="s">
        <v>107</v>
      </c>
      <c r="F8" s="4" t="s">
        <v>135</v>
      </c>
      <c r="G8" s="4" t="s">
        <v>136</v>
      </c>
      <c r="H8" s="4"/>
      <c r="I8" s="4"/>
      <c r="J8" s="4"/>
      <c r="K8" s="4"/>
      <c r="L8" s="4"/>
    </row>
    <row r="9" customFormat="false" ht="15" hidden="false" customHeight="false" outlineLevel="0" collapsed="false">
      <c r="A9" s="4" t="n">
        <v>8</v>
      </c>
      <c r="B9" s="4" t="s">
        <v>114</v>
      </c>
      <c r="C9" s="4" t="n">
        <v>39.7294</v>
      </c>
      <c r="D9" s="4" t="n">
        <v>-105.01717</v>
      </c>
      <c r="E9" s="4" t="s">
        <v>107</v>
      </c>
      <c r="F9" s="4" t="s">
        <v>135</v>
      </c>
      <c r="G9" s="4" t="s">
        <v>136</v>
      </c>
      <c r="H9" s="4"/>
      <c r="I9" s="4"/>
      <c r="J9" s="4"/>
      <c r="K9" s="4"/>
      <c r="L9" s="4"/>
    </row>
    <row r="10" customFormat="false" ht="15" hidden="false" customHeight="false" outlineLevel="0" collapsed="false">
      <c r="A10" s="4" t="n">
        <v>9</v>
      </c>
      <c r="B10" s="4" t="s">
        <v>115</v>
      </c>
      <c r="C10" s="4" t="n">
        <v>39.71107</v>
      </c>
      <c r="D10" s="4" t="n">
        <v>-105.00036</v>
      </c>
      <c r="E10" s="4" t="s">
        <v>107</v>
      </c>
      <c r="F10" s="4" t="s">
        <v>135</v>
      </c>
      <c r="G10" s="4" t="s">
        <v>136</v>
      </c>
      <c r="H10" s="4"/>
      <c r="I10" s="4"/>
      <c r="J10" s="4"/>
      <c r="K10" s="4"/>
      <c r="L10" s="4"/>
    </row>
    <row r="11" customFormat="false" ht="15" hidden="false" customHeight="false" outlineLevel="0" collapsed="false">
      <c r="A11" s="4" t="n">
        <v>10</v>
      </c>
      <c r="B11" s="4" t="s">
        <v>62</v>
      </c>
      <c r="C11" s="4" t="n">
        <v>39.69667</v>
      </c>
      <c r="D11" s="4" t="n">
        <v>-104.99249</v>
      </c>
      <c r="E11" s="4" t="s">
        <v>107</v>
      </c>
      <c r="F11" s="4" t="s">
        <v>135</v>
      </c>
      <c r="G11" s="4" t="s">
        <v>136</v>
      </c>
      <c r="H11" s="4" t="n">
        <v>13</v>
      </c>
      <c r="I11" s="4" t="n">
        <v>10.58</v>
      </c>
      <c r="J11" s="4" t="n">
        <v>34</v>
      </c>
      <c r="K11" s="4" t="n">
        <v>3.21</v>
      </c>
      <c r="L11" s="4" t="n">
        <v>0.375</v>
      </c>
    </row>
    <row r="12" customFormat="false" ht="15" hidden="false" customHeight="false" outlineLevel="0" collapsed="false">
      <c r="A12" s="4" t="n">
        <v>11</v>
      </c>
      <c r="B12" s="4" t="s">
        <v>117</v>
      </c>
      <c r="C12" s="4" t="n">
        <v>39.68912</v>
      </c>
      <c r="D12" s="4" t="n">
        <v>-104.99982</v>
      </c>
      <c r="E12" s="4" t="s">
        <v>107</v>
      </c>
      <c r="F12" s="4" t="s">
        <v>135</v>
      </c>
      <c r="G12" s="4" t="s">
        <v>136</v>
      </c>
      <c r="H12" s="4"/>
      <c r="I12" s="4"/>
      <c r="J12" s="4"/>
      <c r="K12" s="4"/>
      <c r="L12" s="4"/>
    </row>
    <row r="13" customFormat="false" ht="15" hidden="false" customHeight="false" outlineLevel="0" collapsed="false">
      <c r="A13" s="4" t="n">
        <v>1</v>
      </c>
      <c r="B13" s="4" t="s">
        <v>106</v>
      </c>
      <c r="C13" s="4" t="n">
        <v>39.80106</v>
      </c>
      <c r="D13" s="4" t="n">
        <v>-104.95935</v>
      </c>
      <c r="E13" s="4" t="s">
        <v>118</v>
      </c>
      <c r="F13" s="4" t="s">
        <v>137</v>
      </c>
      <c r="G13" s="4" t="s">
        <v>138</v>
      </c>
      <c r="H13" s="4"/>
      <c r="I13" s="4"/>
      <c r="J13" s="4"/>
      <c r="K13" s="4"/>
      <c r="L13" s="4"/>
    </row>
    <row r="14" customFormat="false" ht="15" hidden="false" customHeight="false" outlineLevel="0" collapsed="false">
      <c r="A14" s="4" t="n">
        <v>2</v>
      </c>
      <c r="B14" s="4" t="s">
        <v>109</v>
      </c>
      <c r="C14" s="4" t="n">
        <v>39.78851</v>
      </c>
      <c r="D14" s="4" t="n">
        <v>-104.97271</v>
      </c>
      <c r="E14" s="4" t="s">
        <v>118</v>
      </c>
      <c r="F14" s="4" t="s">
        <v>137</v>
      </c>
      <c r="G14" s="4" t="s">
        <v>138</v>
      </c>
      <c r="H14" s="4"/>
      <c r="I14" s="4"/>
      <c r="J14" s="4"/>
      <c r="K14" s="4"/>
      <c r="L14" s="4"/>
    </row>
    <row r="15" customFormat="false" ht="15" hidden="false" customHeight="false" outlineLevel="0" collapsed="false">
      <c r="A15" s="4" t="n">
        <v>3</v>
      </c>
      <c r="B15" s="4" t="s">
        <v>51</v>
      </c>
      <c r="C15" s="4" t="n">
        <v>39.76766</v>
      </c>
      <c r="D15" s="4" t="n">
        <v>-104.98496</v>
      </c>
      <c r="E15" s="4" t="s">
        <v>118</v>
      </c>
      <c r="F15" s="4" t="s">
        <v>137</v>
      </c>
      <c r="G15" s="4" t="s">
        <v>138</v>
      </c>
      <c r="H15" s="4"/>
      <c r="I15" s="4"/>
      <c r="J15" s="4"/>
      <c r="K15" s="4"/>
      <c r="L15" s="4"/>
    </row>
    <row r="16" customFormat="false" ht="15" hidden="false" customHeight="false" outlineLevel="0" collapsed="false">
      <c r="A16" s="4" t="n">
        <v>4</v>
      </c>
      <c r="B16" s="4" t="s">
        <v>111</v>
      </c>
      <c r="C16" s="4" t="n">
        <v>39.7605</v>
      </c>
      <c r="D16" s="4" t="n">
        <v>-105.00365</v>
      </c>
      <c r="E16" s="4" t="s">
        <v>118</v>
      </c>
      <c r="F16" s="4" t="s">
        <v>137</v>
      </c>
      <c r="G16" s="4" t="s">
        <v>138</v>
      </c>
      <c r="H16" s="4"/>
      <c r="I16" s="4"/>
      <c r="J16" s="4"/>
      <c r="K16" s="4"/>
      <c r="L16" s="4"/>
    </row>
    <row r="17" customFormat="false" ht="15" hidden="false" customHeight="false" outlineLevel="0" collapsed="false">
      <c r="A17" s="4" t="n">
        <v>5</v>
      </c>
      <c r="B17" s="4" t="s">
        <v>112</v>
      </c>
      <c r="C17" s="4" t="n">
        <v>39.7555</v>
      </c>
      <c r="D17" s="4" t="n">
        <v>-105.00788</v>
      </c>
      <c r="E17" s="4" t="s">
        <v>118</v>
      </c>
      <c r="F17" s="4" t="s">
        <v>137</v>
      </c>
      <c r="G17" s="4" t="s">
        <v>138</v>
      </c>
      <c r="H17" s="4"/>
      <c r="I17" s="4"/>
      <c r="J17" s="4"/>
      <c r="K17" s="4"/>
      <c r="L17" s="4"/>
    </row>
    <row r="18" customFormat="false" ht="15" hidden="false" customHeight="false" outlineLevel="0" collapsed="false">
      <c r="A18" s="4" t="n">
        <v>6</v>
      </c>
      <c r="B18" s="4" t="s">
        <v>113</v>
      </c>
      <c r="C18" s="4" t="n">
        <v>39.75443</v>
      </c>
      <c r="D18" s="4" t="n">
        <v>-105.01026</v>
      </c>
      <c r="E18" s="4" t="s">
        <v>118</v>
      </c>
      <c r="F18" s="4" t="s">
        <v>137</v>
      </c>
      <c r="G18" s="4" t="s">
        <v>138</v>
      </c>
      <c r="H18" s="4"/>
      <c r="I18" s="4"/>
      <c r="J18" s="4"/>
      <c r="K18" s="4"/>
      <c r="L18" s="4"/>
    </row>
    <row r="19" customFormat="false" ht="15" hidden="false" customHeight="false" outlineLevel="0" collapsed="false">
      <c r="A19" s="4" t="n">
        <v>7</v>
      </c>
      <c r="B19" s="4" t="s">
        <v>58</v>
      </c>
      <c r="C19" s="4" t="n">
        <v>39.73998</v>
      </c>
      <c r="D19" s="4" t="n">
        <v>-105.01789</v>
      </c>
      <c r="E19" s="4" t="s">
        <v>118</v>
      </c>
      <c r="F19" s="4" t="s">
        <v>137</v>
      </c>
      <c r="G19" s="4" t="s">
        <v>138</v>
      </c>
      <c r="H19" s="4" t="n">
        <v>9</v>
      </c>
      <c r="I19" s="4" t="n">
        <v>2.93</v>
      </c>
      <c r="J19" s="4" t="n">
        <v>25</v>
      </c>
      <c r="K19" s="4" t="n">
        <v>8.55</v>
      </c>
      <c r="L19" s="4" t="n">
        <v>1</v>
      </c>
    </row>
    <row r="20" customFormat="false" ht="15" hidden="false" customHeight="false" outlineLevel="0" collapsed="false">
      <c r="A20" s="4" t="n">
        <v>8</v>
      </c>
      <c r="B20" s="4" t="s">
        <v>114</v>
      </c>
      <c r="C20" s="4" t="n">
        <v>39.7294</v>
      </c>
      <c r="D20" s="4" t="n">
        <v>-105.01717</v>
      </c>
      <c r="E20" s="4" t="s">
        <v>118</v>
      </c>
      <c r="F20" s="4" t="s">
        <v>137</v>
      </c>
      <c r="G20" s="4" t="s">
        <v>138</v>
      </c>
      <c r="H20" s="4"/>
      <c r="I20" s="4"/>
      <c r="J20" s="4"/>
      <c r="K20" s="4"/>
      <c r="L20" s="4"/>
    </row>
    <row r="21" customFormat="false" ht="15" hidden="false" customHeight="false" outlineLevel="0" collapsed="false">
      <c r="A21" s="4" t="n">
        <v>9</v>
      </c>
      <c r="B21" s="4" t="s">
        <v>115</v>
      </c>
      <c r="C21" s="4" t="n">
        <v>39.71107</v>
      </c>
      <c r="D21" s="4" t="n">
        <v>-105.00036</v>
      </c>
      <c r="E21" s="4" t="s">
        <v>118</v>
      </c>
      <c r="F21" s="4" t="s">
        <v>137</v>
      </c>
      <c r="G21" s="4" t="s">
        <v>138</v>
      </c>
      <c r="H21" s="4"/>
      <c r="I21" s="4"/>
      <c r="J21" s="4"/>
      <c r="K21" s="4"/>
      <c r="L21" s="4"/>
    </row>
    <row r="22" customFormat="false" ht="15" hidden="false" customHeight="false" outlineLevel="0" collapsed="false">
      <c r="A22" s="4" t="n">
        <v>10</v>
      </c>
      <c r="B22" s="4" t="s">
        <v>62</v>
      </c>
      <c r="C22" s="4" t="n">
        <v>39.69667</v>
      </c>
      <c r="D22" s="4" t="n">
        <v>-104.99249</v>
      </c>
      <c r="E22" s="4" t="s">
        <v>118</v>
      </c>
      <c r="F22" s="4" t="s">
        <v>137</v>
      </c>
      <c r="G22" s="4" t="s">
        <v>138</v>
      </c>
      <c r="H22" s="4" t="n">
        <v>9</v>
      </c>
      <c r="I22" s="4" t="n">
        <v>7.33</v>
      </c>
      <c r="J22" s="4" t="n">
        <v>30</v>
      </c>
      <c r="K22" s="4" t="n">
        <v>4.1</v>
      </c>
      <c r="L22" s="4" t="n">
        <v>0.48</v>
      </c>
    </row>
    <row r="23" customFormat="false" ht="15" hidden="false" customHeight="false" outlineLevel="0" collapsed="false">
      <c r="A23" s="4" t="n">
        <v>11</v>
      </c>
      <c r="B23" s="4" t="s">
        <v>117</v>
      </c>
      <c r="C23" s="4" t="n">
        <v>39.68912</v>
      </c>
      <c r="D23" s="4" t="n">
        <v>-104.99982</v>
      </c>
      <c r="E23" s="4" t="s">
        <v>118</v>
      </c>
      <c r="F23" s="4" t="s">
        <v>137</v>
      </c>
      <c r="G23" s="4" t="s">
        <v>138</v>
      </c>
      <c r="H23" s="4"/>
      <c r="I23" s="4"/>
      <c r="J23" s="4"/>
      <c r="K23" s="4"/>
      <c r="L23" s="4"/>
    </row>
    <row r="24" customFormat="false" ht="15" hidden="false" customHeight="false" outlineLevel="0" collapsed="false">
      <c r="A24" s="4" t="n">
        <v>1</v>
      </c>
      <c r="B24" s="4" t="s">
        <v>106</v>
      </c>
      <c r="C24" s="4" t="n">
        <v>39.80106</v>
      </c>
      <c r="D24" s="4" t="n">
        <v>-104.95935</v>
      </c>
      <c r="E24" s="4" t="s">
        <v>120</v>
      </c>
      <c r="F24" s="4" t="s">
        <v>139</v>
      </c>
      <c r="G24" s="4" t="s">
        <v>140</v>
      </c>
      <c r="H24" s="4"/>
      <c r="I24" s="4"/>
      <c r="J24" s="4"/>
      <c r="K24" s="4"/>
      <c r="L24" s="4"/>
    </row>
    <row r="25" customFormat="false" ht="15" hidden="false" customHeight="false" outlineLevel="0" collapsed="false">
      <c r="A25" s="4" t="n">
        <v>2</v>
      </c>
      <c r="B25" s="4" t="s">
        <v>109</v>
      </c>
      <c r="C25" s="4" t="n">
        <v>39.78851</v>
      </c>
      <c r="D25" s="4" t="n">
        <v>-104.97271</v>
      </c>
      <c r="E25" s="4" t="s">
        <v>120</v>
      </c>
      <c r="F25" s="4" t="s">
        <v>139</v>
      </c>
      <c r="G25" s="4" t="s">
        <v>140</v>
      </c>
      <c r="H25" s="4"/>
      <c r="I25" s="4"/>
      <c r="J25" s="4"/>
      <c r="K25" s="4"/>
      <c r="L25" s="4"/>
    </row>
    <row r="26" customFormat="false" ht="15" hidden="false" customHeight="false" outlineLevel="0" collapsed="false">
      <c r="A26" s="4" t="n">
        <v>3</v>
      </c>
      <c r="B26" s="4" t="s">
        <v>51</v>
      </c>
      <c r="C26" s="4" t="n">
        <v>39.76766</v>
      </c>
      <c r="D26" s="4" t="n">
        <v>-104.98496</v>
      </c>
      <c r="E26" s="4" t="s">
        <v>120</v>
      </c>
      <c r="F26" s="4" t="s">
        <v>139</v>
      </c>
      <c r="G26" s="4" t="s">
        <v>140</v>
      </c>
      <c r="H26" s="4"/>
      <c r="I26" s="4"/>
      <c r="J26" s="4"/>
      <c r="K26" s="4"/>
      <c r="L26" s="4"/>
    </row>
    <row r="27" customFormat="false" ht="15" hidden="false" customHeight="false" outlineLevel="0" collapsed="false">
      <c r="A27" s="4" t="n">
        <v>4</v>
      </c>
      <c r="B27" s="4" t="s">
        <v>111</v>
      </c>
      <c r="C27" s="4" t="n">
        <v>39.7605</v>
      </c>
      <c r="D27" s="4" t="n">
        <v>-105.00365</v>
      </c>
      <c r="E27" s="4" t="s">
        <v>120</v>
      </c>
      <c r="F27" s="4" t="s">
        <v>139</v>
      </c>
      <c r="G27" s="4" t="s">
        <v>140</v>
      </c>
      <c r="H27" s="4"/>
      <c r="I27" s="4"/>
      <c r="J27" s="4"/>
      <c r="K27" s="4"/>
      <c r="L27" s="4"/>
    </row>
    <row r="28" customFormat="false" ht="15" hidden="false" customHeight="false" outlineLevel="0" collapsed="false">
      <c r="A28" s="4" t="n">
        <v>5</v>
      </c>
      <c r="B28" s="4" t="s">
        <v>112</v>
      </c>
      <c r="C28" s="4" t="n">
        <v>39.7555</v>
      </c>
      <c r="D28" s="4" t="n">
        <v>-105.00788</v>
      </c>
      <c r="E28" s="4" t="s">
        <v>120</v>
      </c>
      <c r="F28" s="4" t="s">
        <v>139</v>
      </c>
      <c r="G28" s="4" t="s">
        <v>140</v>
      </c>
      <c r="H28" s="4"/>
      <c r="I28" s="4"/>
      <c r="J28" s="4"/>
      <c r="K28" s="4"/>
      <c r="L28" s="4"/>
    </row>
    <row r="29" customFormat="false" ht="15" hidden="false" customHeight="false" outlineLevel="0" collapsed="false">
      <c r="A29" s="4" t="n">
        <v>6</v>
      </c>
      <c r="B29" s="4" t="s">
        <v>113</v>
      </c>
      <c r="C29" s="4" t="n">
        <v>39.75443</v>
      </c>
      <c r="D29" s="4" t="n">
        <v>-105.01026</v>
      </c>
      <c r="E29" s="4" t="s">
        <v>120</v>
      </c>
      <c r="F29" s="4" t="s">
        <v>139</v>
      </c>
      <c r="G29" s="4" t="s">
        <v>140</v>
      </c>
      <c r="H29" s="4"/>
      <c r="I29" s="4"/>
      <c r="J29" s="4"/>
      <c r="K29" s="4"/>
      <c r="L29" s="4"/>
    </row>
    <row r="30" customFormat="false" ht="15" hidden="false" customHeight="false" outlineLevel="0" collapsed="false">
      <c r="A30" s="4" t="n">
        <v>7</v>
      </c>
      <c r="B30" s="4" t="s">
        <v>58</v>
      </c>
      <c r="C30" s="4" t="n">
        <v>39.73998</v>
      </c>
      <c r="D30" s="4" t="n">
        <v>-105.01789</v>
      </c>
      <c r="E30" s="4" t="s">
        <v>120</v>
      </c>
      <c r="F30" s="4" t="s">
        <v>139</v>
      </c>
      <c r="G30" s="4" t="s">
        <v>140</v>
      </c>
      <c r="H30" s="4"/>
      <c r="I30" s="4"/>
      <c r="J30" s="4"/>
      <c r="K30" s="4"/>
      <c r="L30" s="4"/>
    </row>
    <row r="31" customFormat="false" ht="15" hidden="false" customHeight="false" outlineLevel="0" collapsed="false">
      <c r="A31" s="4" t="n">
        <v>8</v>
      </c>
      <c r="B31" s="4" t="s">
        <v>114</v>
      </c>
      <c r="C31" s="4" t="n">
        <v>39.7294</v>
      </c>
      <c r="D31" s="4" t="n">
        <v>-105.01717</v>
      </c>
      <c r="E31" s="4" t="s">
        <v>120</v>
      </c>
      <c r="F31" s="4" t="s">
        <v>139</v>
      </c>
      <c r="G31" s="4" t="s">
        <v>140</v>
      </c>
      <c r="H31" s="4"/>
      <c r="I31" s="4"/>
      <c r="J31" s="4"/>
      <c r="K31" s="4"/>
      <c r="L31" s="4"/>
    </row>
    <row r="32" customFormat="false" ht="15" hidden="false" customHeight="false" outlineLevel="0" collapsed="false">
      <c r="A32" s="4" t="n">
        <v>9</v>
      </c>
      <c r="B32" s="4" t="s">
        <v>115</v>
      </c>
      <c r="C32" s="4" t="n">
        <v>39.71107</v>
      </c>
      <c r="D32" s="4" t="n">
        <v>-105.00036</v>
      </c>
      <c r="E32" s="4" t="s">
        <v>120</v>
      </c>
      <c r="F32" s="4" t="s">
        <v>139</v>
      </c>
      <c r="G32" s="4" t="s">
        <v>140</v>
      </c>
      <c r="H32" s="4"/>
      <c r="I32" s="4"/>
      <c r="J32" s="4"/>
      <c r="K32" s="4"/>
      <c r="L32" s="4"/>
    </row>
    <row r="33" customFormat="false" ht="15" hidden="false" customHeight="false" outlineLevel="0" collapsed="false">
      <c r="A33" s="4" t="n">
        <v>10</v>
      </c>
      <c r="B33" s="4" t="s">
        <v>62</v>
      </c>
      <c r="C33" s="4" t="n">
        <v>39.69667</v>
      </c>
      <c r="D33" s="4" t="n">
        <v>-104.99249</v>
      </c>
      <c r="E33" s="4" t="s">
        <v>120</v>
      </c>
      <c r="F33" s="4" t="s">
        <v>139</v>
      </c>
      <c r="G33" s="4" t="s">
        <v>140</v>
      </c>
      <c r="H33" s="4"/>
      <c r="I33" s="4"/>
      <c r="J33" s="4"/>
      <c r="K33" s="4"/>
      <c r="L33" s="4"/>
    </row>
    <row r="34" customFormat="false" ht="15" hidden="false" customHeight="false" outlineLevel="0" collapsed="false">
      <c r="A34" s="4" t="n">
        <v>11</v>
      </c>
      <c r="B34" s="4" t="s">
        <v>117</v>
      </c>
      <c r="C34" s="4" t="n">
        <v>39.68912</v>
      </c>
      <c r="D34" s="4" t="n">
        <v>-104.99982</v>
      </c>
      <c r="E34" s="4" t="s">
        <v>120</v>
      </c>
      <c r="F34" s="4" t="s">
        <v>139</v>
      </c>
      <c r="G34" s="4" t="s">
        <v>140</v>
      </c>
      <c r="H34" s="4"/>
      <c r="I34" s="4"/>
      <c r="J34" s="4"/>
      <c r="K34" s="4"/>
      <c r="L34" s="4"/>
    </row>
    <row r="36" customFormat="false" ht="15" hidden="false" customHeight="false" outlineLevel="0" collapsed="false">
      <c r="A36" s="6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3" min="3" style="0" width="7"/>
    <col collapsed="false" customWidth="true" hidden="false" outlineLevel="0" max="4" min="4" style="0" width="36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13" min="7" style="0" width="10"/>
    <col collapsed="false" customWidth="true" hidden="false" outlineLevel="0" max="15" min="14" style="0" width="12"/>
    <col collapsed="false" customWidth="true" hidden="false" outlineLevel="0" max="16" min="16" style="0" width="9"/>
  </cols>
  <sheetData>
    <row r="1" customFormat="false" ht="23.85" hidden="false" customHeight="false" outlineLevel="0" collapsed="false">
      <c r="A1" s="3" t="s">
        <v>142</v>
      </c>
      <c r="B1" s="3" t="s">
        <v>127</v>
      </c>
      <c r="C1" s="3" t="s">
        <v>123</v>
      </c>
      <c r="D1" s="3" t="s">
        <v>124</v>
      </c>
      <c r="E1" s="3" t="s">
        <v>125</v>
      </c>
      <c r="F1" s="3" t="s">
        <v>126</v>
      </c>
      <c r="G1" s="3" t="s">
        <v>143</v>
      </c>
      <c r="H1" s="3" t="s">
        <v>144</v>
      </c>
      <c r="I1" s="3" t="s">
        <v>145</v>
      </c>
      <c r="J1" s="3" t="s">
        <v>146</v>
      </c>
      <c r="K1" s="3" t="s">
        <v>147</v>
      </c>
      <c r="L1" s="3" t="s">
        <v>148</v>
      </c>
      <c r="M1" s="3" t="s">
        <v>149</v>
      </c>
      <c r="N1" s="3" t="s">
        <v>150</v>
      </c>
      <c r="O1" s="3" t="s">
        <v>151</v>
      </c>
      <c r="P1" s="3" t="s">
        <v>152</v>
      </c>
    </row>
    <row r="2" customFormat="false" ht="15" hidden="false" customHeight="false" outlineLevel="0" collapsed="false">
      <c r="A2" s="4" t="s">
        <v>153</v>
      </c>
      <c r="B2" s="4" t="s">
        <v>154</v>
      </c>
      <c r="C2" s="4" t="n">
        <v>3</v>
      </c>
      <c r="D2" s="4" t="s">
        <v>51</v>
      </c>
      <c r="E2" s="4" t="n">
        <v>39.76766</v>
      </c>
      <c r="F2" s="4" t="n">
        <v>-104.98496</v>
      </c>
      <c r="G2" s="4" t="n">
        <v>49</v>
      </c>
      <c r="H2" s="4" t="n">
        <v>0.14</v>
      </c>
      <c r="I2" s="4" t="n">
        <v>2</v>
      </c>
      <c r="J2" s="4" t="n">
        <v>2</v>
      </c>
      <c r="K2" s="4" t="n">
        <v>0</v>
      </c>
      <c r="L2" s="4" t="n">
        <v>0</v>
      </c>
      <c r="M2" s="4" t="n">
        <v>2</v>
      </c>
      <c r="N2" s="4" t="n">
        <v>14.69</v>
      </c>
      <c r="O2" s="4"/>
      <c r="P2" s="4"/>
    </row>
    <row r="3" customFormat="false" ht="15" hidden="false" customHeight="false" outlineLevel="0" collapsed="false">
      <c r="A3" s="4" t="s">
        <v>155</v>
      </c>
      <c r="B3" s="4" t="s">
        <v>154</v>
      </c>
      <c r="C3" s="4" t="n">
        <v>3</v>
      </c>
      <c r="D3" s="4" t="s">
        <v>51</v>
      </c>
      <c r="E3" s="4" t="n">
        <v>39.76766</v>
      </c>
      <c r="F3" s="4" t="n">
        <v>-104.98496</v>
      </c>
      <c r="G3" s="4" t="n">
        <v>49</v>
      </c>
      <c r="H3" s="4" t="n">
        <v>0.14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/>
      <c r="P3" s="4"/>
    </row>
    <row r="4" customFormat="false" ht="15" hidden="false" customHeight="false" outlineLevel="0" collapsed="false">
      <c r="A4" s="4" t="s">
        <v>156</v>
      </c>
      <c r="B4" s="4" t="s">
        <v>154</v>
      </c>
      <c r="C4" s="4" t="n">
        <v>3</v>
      </c>
      <c r="D4" s="4" t="s">
        <v>51</v>
      </c>
      <c r="E4" s="4" t="n">
        <v>39.76766</v>
      </c>
      <c r="F4" s="4" t="n">
        <v>-104.98496</v>
      </c>
      <c r="G4" s="4" t="n">
        <v>49</v>
      </c>
      <c r="H4" s="4" t="n">
        <v>0.14</v>
      </c>
      <c r="I4" s="4" t="n">
        <v>2</v>
      </c>
      <c r="J4" s="4" t="n">
        <v>2</v>
      </c>
      <c r="K4" s="4" t="n">
        <v>1</v>
      </c>
      <c r="L4" s="4" t="n">
        <v>0</v>
      </c>
      <c r="M4" s="4" t="n">
        <v>1</v>
      </c>
      <c r="N4" s="4" t="n">
        <v>7.35</v>
      </c>
      <c r="O4" s="4"/>
      <c r="P4" s="4"/>
    </row>
    <row r="5" customFormat="false" ht="15" hidden="false" customHeight="false" outlineLevel="0" collapsed="false">
      <c r="A5" s="4" t="s">
        <v>137</v>
      </c>
      <c r="B5" s="4" t="s">
        <v>118</v>
      </c>
      <c r="C5" s="4" t="n">
        <v>7</v>
      </c>
      <c r="D5" s="4" t="s">
        <v>58</v>
      </c>
      <c r="E5" s="4" t="n">
        <v>39.73998</v>
      </c>
      <c r="F5" s="4" t="n">
        <v>-105.01789</v>
      </c>
      <c r="G5" s="4" t="n">
        <v>117</v>
      </c>
      <c r="H5" s="4" t="n">
        <v>0.33</v>
      </c>
      <c r="I5" s="4" t="n">
        <v>3</v>
      </c>
      <c r="J5" s="4" t="n">
        <v>3</v>
      </c>
      <c r="K5" s="4" t="n">
        <v>0</v>
      </c>
      <c r="L5" s="4" t="n">
        <v>1</v>
      </c>
      <c r="M5" s="4" t="n">
        <v>2</v>
      </c>
      <c r="N5" s="4" t="n">
        <v>6.15</v>
      </c>
      <c r="O5" s="4" t="n">
        <v>16</v>
      </c>
      <c r="P5" s="4" t="n">
        <v>68.4</v>
      </c>
    </row>
    <row r="6" customFormat="false" ht="15" hidden="false" customHeight="false" outlineLevel="0" collapsed="false">
      <c r="A6" s="4" t="s">
        <v>157</v>
      </c>
      <c r="B6" s="4" t="s">
        <v>118</v>
      </c>
      <c r="C6" s="4" t="n">
        <v>7</v>
      </c>
      <c r="D6" s="4" t="s">
        <v>58</v>
      </c>
      <c r="E6" s="4" t="n">
        <v>39.73998</v>
      </c>
      <c r="F6" s="4" t="n">
        <v>-105.01789</v>
      </c>
      <c r="G6" s="4" t="n">
        <v>117</v>
      </c>
      <c r="H6" s="4" t="n">
        <v>0.33</v>
      </c>
      <c r="I6" s="4" t="n">
        <v>5</v>
      </c>
      <c r="J6" s="4" t="n">
        <v>5</v>
      </c>
      <c r="K6" s="4" t="n">
        <v>1</v>
      </c>
      <c r="L6" s="4" t="n">
        <v>2</v>
      </c>
      <c r="M6" s="4" t="n">
        <v>2</v>
      </c>
      <c r="N6" s="4" t="n">
        <v>6.15</v>
      </c>
      <c r="O6" s="4" t="n">
        <v>17</v>
      </c>
      <c r="P6" s="4" t="n">
        <v>71.7</v>
      </c>
    </row>
    <row r="7" customFormat="false" ht="15" hidden="false" customHeight="false" outlineLevel="0" collapsed="false">
      <c r="A7" s="4" t="s">
        <v>158</v>
      </c>
      <c r="B7" s="4" t="s">
        <v>118</v>
      </c>
      <c r="C7" s="4" t="n">
        <v>7</v>
      </c>
      <c r="D7" s="4" t="s">
        <v>58</v>
      </c>
      <c r="E7" s="4" t="n">
        <v>39.73998</v>
      </c>
      <c r="F7" s="4" t="n">
        <v>-105.01789</v>
      </c>
      <c r="G7" s="4" t="n">
        <v>117</v>
      </c>
      <c r="H7" s="4" t="n">
        <v>0.33</v>
      </c>
      <c r="I7" s="4" t="n">
        <v>8</v>
      </c>
      <c r="J7" s="4" t="n">
        <v>9</v>
      </c>
      <c r="K7" s="4" t="n">
        <v>2</v>
      </c>
      <c r="L7" s="4" t="n">
        <v>4</v>
      </c>
      <c r="M7" s="4" t="n">
        <v>3</v>
      </c>
      <c r="N7" s="4" t="n">
        <v>9.23</v>
      </c>
      <c r="O7" s="4" t="n">
        <v>133</v>
      </c>
      <c r="P7" s="4" t="n">
        <v>276</v>
      </c>
    </row>
    <row r="8" customFormat="false" ht="15" hidden="false" customHeight="false" outlineLevel="0" collapsed="false">
      <c r="A8" s="4" t="s">
        <v>159</v>
      </c>
      <c r="B8" s="4" t="s">
        <v>118</v>
      </c>
      <c r="C8" s="4" t="n">
        <v>7</v>
      </c>
      <c r="D8" s="4" t="s">
        <v>58</v>
      </c>
      <c r="E8" s="4" t="n">
        <v>39.73998</v>
      </c>
      <c r="F8" s="4" t="n">
        <v>-105.01789</v>
      </c>
      <c r="G8" s="4" t="n">
        <v>117</v>
      </c>
      <c r="H8" s="4" t="n">
        <v>0.33</v>
      </c>
      <c r="I8" s="4" t="n">
        <v>8</v>
      </c>
      <c r="J8" s="4" t="n">
        <v>8</v>
      </c>
      <c r="K8" s="4" t="n">
        <v>0</v>
      </c>
      <c r="L8" s="4" t="n">
        <v>3</v>
      </c>
      <c r="M8" s="4" t="n">
        <v>5</v>
      </c>
      <c r="N8" s="4" t="n">
        <v>15.38</v>
      </c>
      <c r="O8" s="4" t="n">
        <v>26</v>
      </c>
      <c r="P8" s="4" t="n">
        <v>143</v>
      </c>
    </row>
    <row r="9" customFormat="false" ht="15" hidden="false" customHeight="false" outlineLevel="0" collapsed="false">
      <c r="A9" s="4" t="s">
        <v>160</v>
      </c>
      <c r="B9" s="4" t="s">
        <v>118</v>
      </c>
      <c r="C9" s="4" t="n">
        <v>7</v>
      </c>
      <c r="D9" s="4" t="s">
        <v>58</v>
      </c>
      <c r="E9" s="4" t="n">
        <v>39.73998</v>
      </c>
      <c r="F9" s="4" t="n">
        <v>-105.01789</v>
      </c>
      <c r="G9" s="4" t="n">
        <v>117</v>
      </c>
      <c r="H9" s="4" t="n">
        <v>0.33</v>
      </c>
      <c r="I9" s="4" t="n">
        <v>4</v>
      </c>
      <c r="J9" s="4" t="n">
        <v>6</v>
      </c>
      <c r="K9" s="4" t="n">
        <v>3</v>
      </c>
      <c r="L9" s="4" t="n">
        <v>1</v>
      </c>
      <c r="M9" s="4" t="n">
        <v>2</v>
      </c>
      <c r="N9" s="4" t="n">
        <v>6.15</v>
      </c>
      <c r="O9" s="4" t="n">
        <v>35</v>
      </c>
      <c r="P9" s="4" t="n">
        <v>90.9</v>
      </c>
    </row>
    <row r="10" customFormat="false" ht="15" hidden="false" customHeight="false" outlineLevel="0" collapsed="false">
      <c r="A10" s="4" t="s">
        <v>161</v>
      </c>
      <c r="B10" s="4" t="s">
        <v>118</v>
      </c>
      <c r="C10" s="4" t="n">
        <v>7</v>
      </c>
      <c r="D10" s="4" t="s">
        <v>58</v>
      </c>
      <c r="E10" s="4" t="n">
        <v>39.73998</v>
      </c>
      <c r="F10" s="4" t="n">
        <v>-105.01789</v>
      </c>
      <c r="G10" s="4" t="n">
        <v>117</v>
      </c>
      <c r="H10" s="4" t="n">
        <v>0.33</v>
      </c>
      <c r="I10" s="4" t="n">
        <v>3</v>
      </c>
      <c r="J10" s="4" t="n">
        <v>3</v>
      </c>
      <c r="K10" s="4" t="n">
        <v>1</v>
      </c>
      <c r="L10" s="4" t="n">
        <v>1</v>
      </c>
      <c r="M10" s="4" t="n">
        <v>1</v>
      </c>
      <c r="N10" s="4" t="n">
        <v>3.08</v>
      </c>
      <c r="O10" s="4" t="n">
        <v>19</v>
      </c>
      <c r="P10" s="4" t="n">
        <v>84.2</v>
      </c>
    </row>
    <row r="11" customFormat="false" ht="15" hidden="false" customHeight="false" outlineLevel="0" collapsed="false">
      <c r="A11" s="4" t="s">
        <v>162</v>
      </c>
      <c r="B11" s="4" t="s">
        <v>118</v>
      </c>
      <c r="C11" s="4" t="n">
        <v>7</v>
      </c>
      <c r="D11" s="4" t="s">
        <v>58</v>
      </c>
      <c r="E11" s="4" t="n">
        <v>39.73998</v>
      </c>
      <c r="F11" s="4" t="n">
        <v>-105.01789</v>
      </c>
      <c r="G11" s="4" t="n">
        <v>117</v>
      </c>
      <c r="H11" s="4" t="n">
        <v>0.33</v>
      </c>
      <c r="I11" s="4" t="n">
        <v>6</v>
      </c>
      <c r="J11" s="4" t="n">
        <v>7</v>
      </c>
      <c r="K11" s="4" t="n">
        <v>3</v>
      </c>
      <c r="L11" s="4" t="n">
        <v>1</v>
      </c>
      <c r="M11" s="4" t="n">
        <v>3</v>
      </c>
      <c r="N11" s="4" t="n">
        <v>9.23</v>
      </c>
      <c r="O11" s="4" t="n">
        <v>17</v>
      </c>
      <c r="P11" s="4" t="n">
        <v>79.1</v>
      </c>
    </row>
    <row r="12" customFormat="false" ht="15" hidden="false" customHeight="false" outlineLevel="0" collapsed="false">
      <c r="A12" s="4" t="s">
        <v>163</v>
      </c>
      <c r="B12" s="4" t="s">
        <v>118</v>
      </c>
      <c r="C12" s="4" t="n">
        <v>7</v>
      </c>
      <c r="D12" s="4" t="s">
        <v>58</v>
      </c>
      <c r="E12" s="4" t="n">
        <v>39.73998</v>
      </c>
      <c r="F12" s="4" t="n">
        <v>-105.01789</v>
      </c>
      <c r="G12" s="4" t="n">
        <v>117</v>
      </c>
      <c r="H12" s="4" t="n">
        <v>0.33</v>
      </c>
      <c r="I12" s="4" t="n">
        <v>5</v>
      </c>
      <c r="J12" s="4" t="n">
        <v>5</v>
      </c>
      <c r="K12" s="4" t="n">
        <v>1</v>
      </c>
      <c r="L12" s="4" t="n">
        <v>1</v>
      </c>
      <c r="M12" s="4" t="n">
        <v>3</v>
      </c>
      <c r="N12" s="4" t="n">
        <v>9.23</v>
      </c>
      <c r="O12" s="4" t="n">
        <v>15</v>
      </c>
      <c r="P12" s="4" t="n">
        <v>80.2</v>
      </c>
    </row>
    <row r="13" customFormat="false" ht="15" hidden="false" customHeight="false" outlineLevel="0" collapsed="false">
      <c r="A13" s="4" t="s">
        <v>164</v>
      </c>
      <c r="B13" s="4" t="s">
        <v>118</v>
      </c>
      <c r="C13" s="4" t="n">
        <v>7</v>
      </c>
      <c r="D13" s="4" t="s">
        <v>58</v>
      </c>
      <c r="E13" s="4" t="n">
        <v>39.73998</v>
      </c>
      <c r="F13" s="4" t="n">
        <v>-105.01789</v>
      </c>
      <c r="G13" s="4" t="n">
        <v>117</v>
      </c>
      <c r="H13" s="4" t="n">
        <v>0.33</v>
      </c>
      <c r="I13" s="4" t="n">
        <v>7</v>
      </c>
      <c r="J13" s="4" t="n">
        <v>8</v>
      </c>
      <c r="K13" s="4" t="n">
        <v>1</v>
      </c>
      <c r="L13" s="4" t="n">
        <v>3</v>
      </c>
      <c r="M13" s="4" t="n">
        <v>4</v>
      </c>
      <c r="N13" s="4" t="n">
        <v>12.31</v>
      </c>
      <c r="O13" s="4" t="n">
        <v>19</v>
      </c>
      <c r="P13" s="4" t="n">
        <v>81</v>
      </c>
    </row>
    <row r="14" customFormat="false" ht="15" hidden="false" customHeight="false" outlineLevel="0" collapsed="false">
      <c r="A14" s="4" t="s">
        <v>165</v>
      </c>
      <c r="B14" s="4" t="s">
        <v>107</v>
      </c>
      <c r="C14" s="4" t="n">
        <v>10</v>
      </c>
      <c r="D14" s="4" t="s">
        <v>62</v>
      </c>
      <c r="E14" s="4" t="n">
        <v>39.69667</v>
      </c>
      <c r="F14" s="4" t="n">
        <v>-104.99249</v>
      </c>
      <c r="G14" s="4" t="n">
        <v>293</v>
      </c>
      <c r="H14" s="4" t="n">
        <v>0.81</v>
      </c>
      <c r="I14" s="4" t="n">
        <v>8</v>
      </c>
      <c r="J14" s="4" t="n">
        <v>10</v>
      </c>
      <c r="K14" s="4" t="n">
        <v>1</v>
      </c>
      <c r="L14" s="4" t="n">
        <v>3</v>
      </c>
      <c r="M14" s="4" t="n">
        <v>6</v>
      </c>
      <c r="N14" s="4" t="n">
        <v>7.37</v>
      </c>
      <c r="O14" s="4" t="n">
        <v>20</v>
      </c>
      <c r="P14" s="4" t="n">
        <v>167</v>
      </c>
    </row>
    <row r="15" customFormat="false" ht="15" hidden="false" customHeight="false" outlineLevel="0" collapsed="false">
      <c r="A15" s="4" t="s">
        <v>166</v>
      </c>
      <c r="B15" s="4" t="s">
        <v>107</v>
      </c>
      <c r="C15" s="4" t="n">
        <v>10</v>
      </c>
      <c r="D15" s="4" t="s">
        <v>62</v>
      </c>
      <c r="E15" s="4" t="n">
        <v>39.69667</v>
      </c>
      <c r="F15" s="4" t="n">
        <v>-104.99249</v>
      </c>
      <c r="G15" s="4" t="n">
        <v>293</v>
      </c>
      <c r="H15" s="4" t="n">
        <v>0.81</v>
      </c>
      <c r="I15" s="4" t="n">
        <v>5</v>
      </c>
      <c r="J15" s="4" t="n">
        <v>5</v>
      </c>
      <c r="K15" s="4" t="n">
        <v>2</v>
      </c>
      <c r="L15" s="4" t="n">
        <v>1</v>
      </c>
      <c r="M15" s="4" t="n">
        <v>2</v>
      </c>
      <c r="N15" s="4" t="n">
        <v>2.46</v>
      </c>
      <c r="O15" s="4" t="n">
        <v>19</v>
      </c>
      <c r="P15" s="4" t="n">
        <v>105</v>
      </c>
    </row>
    <row r="16" customFormat="false" ht="15" hidden="false" customHeight="false" outlineLevel="0" collapsed="false">
      <c r="A16" s="4" t="s">
        <v>167</v>
      </c>
      <c r="B16" s="4" t="s">
        <v>107</v>
      </c>
      <c r="C16" s="4" t="n">
        <v>10</v>
      </c>
      <c r="D16" s="4" t="s">
        <v>62</v>
      </c>
      <c r="E16" s="4" t="n">
        <v>39.69667</v>
      </c>
      <c r="F16" s="4" t="n">
        <v>-104.99249</v>
      </c>
      <c r="G16" s="4" t="n">
        <v>293</v>
      </c>
      <c r="H16" s="4" t="n">
        <v>0.81</v>
      </c>
      <c r="I16" s="4" t="n">
        <v>3</v>
      </c>
      <c r="J16" s="4" t="n">
        <v>6</v>
      </c>
      <c r="K16" s="4" t="n">
        <v>0</v>
      </c>
      <c r="L16" s="4" t="n">
        <v>4</v>
      </c>
      <c r="M16" s="4" t="n">
        <v>2</v>
      </c>
      <c r="N16" s="4" t="n">
        <v>2.46</v>
      </c>
      <c r="O16" s="4" t="n">
        <v>17</v>
      </c>
      <c r="P16" s="4" t="n">
        <v>102</v>
      </c>
    </row>
    <row r="17" customFormat="false" ht="15" hidden="false" customHeight="false" outlineLevel="0" collapsed="false">
      <c r="A17" s="4" t="s">
        <v>168</v>
      </c>
      <c r="B17" s="4" t="s">
        <v>107</v>
      </c>
      <c r="C17" s="4" t="n">
        <v>10</v>
      </c>
      <c r="D17" s="4" t="s">
        <v>62</v>
      </c>
      <c r="E17" s="4" t="n">
        <v>39.69667</v>
      </c>
      <c r="F17" s="4" t="n">
        <v>-104.99249</v>
      </c>
      <c r="G17" s="4" t="n">
        <v>293</v>
      </c>
      <c r="H17" s="4" t="n">
        <v>0.81</v>
      </c>
      <c r="I17" s="4" t="n">
        <v>5</v>
      </c>
      <c r="J17" s="4" t="n">
        <v>7</v>
      </c>
      <c r="K17" s="4" t="n">
        <v>0</v>
      </c>
      <c r="L17" s="4" t="n">
        <v>3</v>
      </c>
      <c r="M17" s="4" t="n">
        <v>4</v>
      </c>
      <c r="N17" s="4" t="n">
        <v>4.91</v>
      </c>
      <c r="O17" s="4" t="n">
        <v>12</v>
      </c>
      <c r="P17" s="4" t="n">
        <v>94</v>
      </c>
    </row>
    <row r="18" customFormat="false" ht="15" hidden="false" customHeight="false" outlineLevel="0" collapsed="false">
      <c r="A18" s="4" t="s">
        <v>169</v>
      </c>
      <c r="B18" s="4" t="s">
        <v>107</v>
      </c>
      <c r="C18" s="4" t="n">
        <v>10</v>
      </c>
      <c r="D18" s="4" t="s">
        <v>62</v>
      </c>
      <c r="E18" s="4" t="n">
        <v>39.69667</v>
      </c>
      <c r="F18" s="4" t="n">
        <v>-104.99249</v>
      </c>
      <c r="G18" s="4" t="n">
        <v>293</v>
      </c>
      <c r="H18" s="4" t="n">
        <v>0.81</v>
      </c>
      <c r="I18" s="4" t="n">
        <v>5</v>
      </c>
      <c r="J18" s="4" t="n">
        <v>5</v>
      </c>
      <c r="K18" s="4" t="n">
        <v>1</v>
      </c>
      <c r="L18" s="4" t="n">
        <v>2</v>
      </c>
      <c r="M18" s="4" t="n">
        <v>2</v>
      </c>
      <c r="N18" s="4" t="n">
        <v>2.46</v>
      </c>
      <c r="O18" s="4" t="n">
        <v>8</v>
      </c>
      <c r="P18" s="4" t="n">
        <v>75.7</v>
      </c>
    </row>
    <row r="19" customFormat="false" ht="15" hidden="false" customHeight="false" outlineLevel="0" collapsed="false">
      <c r="A19" s="4" t="s">
        <v>170</v>
      </c>
      <c r="B19" s="4" t="s">
        <v>107</v>
      </c>
      <c r="C19" s="4" t="n">
        <v>10</v>
      </c>
      <c r="D19" s="4" t="s">
        <v>62</v>
      </c>
      <c r="E19" s="4" t="n">
        <v>39.69667</v>
      </c>
      <c r="F19" s="4" t="n">
        <v>-104.99249</v>
      </c>
      <c r="G19" s="4" t="n">
        <v>293</v>
      </c>
      <c r="H19" s="4" t="n">
        <v>0.81</v>
      </c>
      <c r="I19" s="4" t="n">
        <v>1</v>
      </c>
      <c r="J19" s="4" t="n">
        <v>1</v>
      </c>
      <c r="K19" s="4" t="n">
        <v>1</v>
      </c>
      <c r="L19" s="4" t="n">
        <v>0</v>
      </c>
      <c r="M19" s="4" t="n">
        <v>0</v>
      </c>
      <c r="N19" s="4" t="n">
        <v>0</v>
      </c>
      <c r="O19" s="4" t="n">
        <v>9</v>
      </c>
      <c r="P19" s="4" t="n">
        <v>73.1</v>
      </c>
    </row>
    <row r="20" customFormat="false" ht="15" hidden="false" customHeight="false" outlineLevel="0" collapsed="false">
      <c r="A20" s="4" t="s">
        <v>171</v>
      </c>
      <c r="B20" s="4" t="s">
        <v>107</v>
      </c>
      <c r="C20" s="4" t="n">
        <v>10</v>
      </c>
      <c r="D20" s="4" t="s">
        <v>62</v>
      </c>
      <c r="E20" s="4" t="n">
        <v>39.69667</v>
      </c>
      <c r="F20" s="4" t="n">
        <v>-104.99249</v>
      </c>
      <c r="G20" s="4" t="n">
        <v>293</v>
      </c>
      <c r="H20" s="4" t="n">
        <v>0.81</v>
      </c>
      <c r="I20" s="4" t="n">
        <v>3</v>
      </c>
      <c r="J20" s="4" t="n">
        <v>4</v>
      </c>
      <c r="K20" s="4" t="n">
        <v>1</v>
      </c>
      <c r="L20" s="4" t="n">
        <v>2</v>
      </c>
      <c r="M20" s="4" t="n">
        <v>1</v>
      </c>
      <c r="N20" s="4" t="n">
        <v>1.23</v>
      </c>
      <c r="O20" s="4" t="n">
        <v>8</v>
      </c>
      <c r="P20" s="4" t="n">
        <v>74.9</v>
      </c>
    </row>
    <row r="21" customFormat="false" ht="15" hidden="false" customHeight="false" outlineLevel="0" collapsed="false">
      <c r="A21" s="4" t="s">
        <v>172</v>
      </c>
      <c r="B21" s="4" t="s">
        <v>107</v>
      </c>
      <c r="C21" s="4" t="n">
        <v>10</v>
      </c>
      <c r="D21" s="4" t="s">
        <v>62</v>
      </c>
      <c r="E21" s="4" t="n">
        <v>39.69667</v>
      </c>
      <c r="F21" s="4" t="n">
        <v>-104.99249</v>
      </c>
      <c r="G21" s="4" t="n">
        <v>293</v>
      </c>
      <c r="H21" s="4" t="n">
        <v>0.81</v>
      </c>
      <c r="I21" s="4" t="n">
        <v>4</v>
      </c>
      <c r="J21" s="4" t="n">
        <v>4</v>
      </c>
      <c r="K21" s="4" t="n">
        <v>1</v>
      </c>
      <c r="L21" s="4" t="n">
        <v>1</v>
      </c>
      <c r="M21" s="4" t="n">
        <v>2</v>
      </c>
      <c r="N21" s="4" t="n">
        <v>2.46</v>
      </c>
      <c r="O21" s="4" t="n">
        <v>14</v>
      </c>
      <c r="P21" s="4" t="n">
        <v>74.1</v>
      </c>
    </row>
    <row r="22" customFormat="false" ht="15" hidden="false" customHeight="false" outlineLevel="0" collapsed="false">
      <c r="A22" s="4" t="s">
        <v>173</v>
      </c>
      <c r="B22" s="4" t="s">
        <v>107</v>
      </c>
      <c r="C22" s="4" t="n">
        <v>10</v>
      </c>
      <c r="D22" s="4" t="s">
        <v>62</v>
      </c>
      <c r="E22" s="4" t="n">
        <v>39.69667</v>
      </c>
      <c r="F22" s="4" t="n">
        <v>-104.99249</v>
      </c>
      <c r="G22" s="4" t="n">
        <v>293</v>
      </c>
      <c r="H22" s="4" t="n">
        <v>0.81</v>
      </c>
      <c r="I22" s="4" t="n">
        <v>6</v>
      </c>
      <c r="J22" s="4" t="n">
        <v>7</v>
      </c>
      <c r="K22" s="4" t="n">
        <v>2</v>
      </c>
      <c r="L22" s="4" t="n">
        <v>3</v>
      </c>
      <c r="M22" s="4" t="n">
        <v>2</v>
      </c>
      <c r="N22" s="4" t="n">
        <v>2.46</v>
      </c>
      <c r="O22" s="4" t="n">
        <v>14</v>
      </c>
      <c r="P22" s="4" t="n">
        <v>74.3</v>
      </c>
    </row>
    <row r="23" customFormat="false" ht="15" hidden="false" customHeight="false" outlineLevel="0" collapsed="false">
      <c r="A23" s="4" t="s">
        <v>174</v>
      </c>
      <c r="B23" s="4" t="s">
        <v>107</v>
      </c>
      <c r="C23" s="4" t="n">
        <v>10</v>
      </c>
      <c r="D23" s="4" t="s">
        <v>62</v>
      </c>
      <c r="E23" s="4" t="n">
        <v>39.69667</v>
      </c>
      <c r="F23" s="4" t="n">
        <v>-104.99249</v>
      </c>
      <c r="G23" s="4" t="n">
        <v>293</v>
      </c>
      <c r="H23" s="4" t="n">
        <v>0.81</v>
      </c>
      <c r="I23" s="4" t="n">
        <v>9</v>
      </c>
      <c r="J23" s="4" t="n">
        <v>11</v>
      </c>
      <c r="K23" s="4" t="n">
        <v>2</v>
      </c>
      <c r="L23" s="4" t="n">
        <v>4</v>
      </c>
      <c r="M23" s="4" t="n">
        <v>5</v>
      </c>
      <c r="N23" s="4" t="n">
        <v>6.14</v>
      </c>
      <c r="O23" s="4" t="n">
        <v>10</v>
      </c>
      <c r="P23" s="4" t="n">
        <v>75.6</v>
      </c>
    </row>
    <row r="24" customFormat="false" ht="15" hidden="false" customHeight="false" outlineLevel="0" collapsed="false">
      <c r="A24" s="4" t="s">
        <v>175</v>
      </c>
      <c r="B24" s="4" t="s">
        <v>107</v>
      </c>
      <c r="C24" s="4" t="n">
        <v>10</v>
      </c>
      <c r="D24" s="4" t="s">
        <v>62</v>
      </c>
      <c r="E24" s="4" t="n">
        <v>39.69667</v>
      </c>
      <c r="F24" s="4" t="n">
        <v>-104.99249</v>
      </c>
      <c r="G24" s="4" t="n">
        <v>293</v>
      </c>
      <c r="H24" s="4" t="n">
        <v>0.81</v>
      </c>
      <c r="I24" s="4" t="n">
        <v>5</v>
      </c>
      <c r="J24" s="4" t="n">
        <v>6</v>
      </c>
      <c r="K24" s="4" t="n">
        <v>0</v>
      </c>
      <c r="L24" s="4" t="n">
        <v>3</v>
      </c>
      <c r="M24" s="4" t="n">
        <v>3</v>
      </c>
      <c r="N24" s="4" t="n">
        <v>3.69</v>
      </c>
      <c r="O24" s="4" t="n">
        <v>15</v>
      </c>
      <c r="P24" s="4" t="n">
        <v>74.5</v>
      </c>
    </row>
    <row r="25" customFormat="false" ht="15" hidden="false" customHeight="false" outlineLevel="0" collapsed="false">
      <c r="A25" s="4" t="s">
        <v>176</v>
      </c>
      <c r="B25" s="4" t="s">
        <v>107</v>
      </c>
      <c r="C25" s="4" t="n">
        <v>10</v>
      </c>
      <c r="D25" s="4" t="s">
        <v>62</v>
      </c>
      <c r="E25" s="4" t="n">
        <v>39.69667</v>
      </c>
      <c r="F25" s="4" t="n">
        <v>-104.99249</v>
      </c>
      <c r="G25" s="4" t="n">
        <v>293</v>
      </c>
      <c r="H25" s="4" t="n">
        <v>0.81</v>
      </c>
      <c r="I25" s="4" t="n">
        <v>7</v>
      </c>
      <c r="J25" s="4" t="n">
        <v>10</v>
      </c>
      <c r="K25" s="4" t="n">
        <v>6</v>
      </c>
      <c r="L25" s="4" t="n">
        <v>1</v>
      </c>
      <c r="M25" s="4" t="n">
        <v>3</v>
      </c>
      <c r="N25" s="4" t="n">
        <v>3.69</v>
      </c>
      <c r="O25" s="4" t="n">
        <v>8</v>
      </c>
      <c r="P25" s="4" t="n">
        <v>71</v>
      </c>
    </row>
    <row r="26" customFormat="false" ht="15" hidden="false" customHeight="false" outlineLevel="0" collapsed="false">
      <c r="A26" s="4" t="s">
        <v>136</v>
      </c>
      <c r="B26" s="4" t="s">
        <v>107</v>
      </c>
      <c r="C26" s="4" t="n">
        <v>10</v>
      </c>
      <c r="D26" s="4" t="s">
        <v>62</v>
      </c>
      <c r="E26" s="4" t="n">
        <v>39.69667</v>
      </c>
      <c r="F26" s="4" t="n">
        <v>-104.99249</v>
      </c>
      <c r="G26" s="4" t="n">
        <v>293</v>
      </c>
      <c r="H26" s="4" t="n">
        <v>0.81</v>
      </c>
      <c r="I26" s="4" t="n">
        <v>4</v>
      </c>
      <c r="J26" s="4" t="n">
        <v>4</v>
      </c>
      <c r="K26" s="4" t="n">
        <v>1</v>
      </c>
      <c r="L26" s="4" t="n">
        <v>1</v>
      </c>
      <c r="M26" s="4" t="n">
        <v>2</v>
      </c>
      <c r="N26" s="4" t="n">
        <v>2.46</v>
      </c>
      <c r="O26" s="4" t="n">
        <v>8</v>
      </c>
      <c r="P26" s="4" t="n">
        <v>67.9</v>
      </c>
    </row>
    <row r="27" customFormat="false" ht="15" hidden="false" customHeight="false" outlineLevel="0" collapsed="false">
      <c r="A27" s="4" t="s">
        <v>137</v>
      </c>
      <c r="B27" s="4" t="s">
        <v>118</v>
      </c>
      <c r="C27" s="4" t="n">
        <v>10</v>
      </c>
      <c r="D27" s="4" t="s">
        <v>62</v>
      </c>
      <c r="E27" s="4" t="n">
        <v>39.69667</v>
      </c>
      <c r="F27" s="4" t="n">
        <v>-104.99249</v>
      </c>
      <c r="G27" s="4" t="n">
        <v>293</v>
      </c>
      <c r="H27" s="4" t="n">
        <v>0.81</v>
      </c>
      <c r="I27" s="4" t="n">
        <v>5</v>
      </c>
      <c r="J27" s="4" t="n">
        <v>6</v>
      </c>
      <c r="K27" s="4" t="n">
        <v>2</v>
      </c>
      <c r="L27" s="4" t="n">
        <v>2</v>
      </c>
      <c r="M27" s="4" t="n">
        <v>2</v>
      </c>
      <c r="N27" s="4" t="n">
        <v>2.46</v>
      </c>
      <c r="O27" s="4" t="n">
        <v>14</v>
      </c>
      <c r="P27" s="4" t="n">
        <v>68.4</v>
      </c>
    </row>
    <row r="28" customFormat="false" ht="15" hidden="false" customHeight="false" outlineLevel="0" collapsed="false">
      <c r="A28" s="4" t="s">
        <v>157</v>
      </c>
      <c r="B28" s="4" t="s">
        <v>118</v>
      </c>
      <c r="C28" s="4" t="n">
        <v>10</v>
      </c>
      <c r="D28" s="4" t="s">
        <v>62</v>
      </c>
      <c r="E28" s="4" t="n">
        <v>39.69667</v>
      </c>
      <c r="F28" s="4" t="n">
        <v>-104.99249</v>
      </c>
      <c r="G28" s="4" t="n">
        <v>293</v>
      </c>
      <c r="H28" s="4" t="n">
        <v>0.81</v>
      </c>
      <c r="I28" s="4" t="n">
        <v>2</v>
      </c>
      <c r="J28" s="4" t="n">
        <v>2</v>
      </c>
      <c r="K28" s="4" t="n">
        <v>0</v>
      </c>
      <c r="L28" s="4" t="n">
        <v>1</v>
      </c>
      <c r="M28" s="4" t="n">
        <v>1</v>
      </c>
      <c r="N28" s="4" t="n">
        <v>1.23</v>
      </c>
      <c r="O28" s="4" t="n">
        <v>15</v>
      </c>
      <c r="P28" s="4" t="n">
        <v>71.7</v>
      </c>
    </row>
    <row r="29" customFormat="false" ht="15" hidden="false" customHeight="false" outlineLevel="0" collapsed="false">
      <c r="A29" s="4" t="s">
        <v>158</v>
      </c>
      <c r="B29" s="4" t="s">
        <v>118</v>
      </c>
      <c r="C29" s="4" t="n">
        <v>10</v>
      </c>
      <c r="D29" s="4" t="s">
        <v>62</v>
      </c>
      <c r="E29" s="4" t="n">
        <v>39.69667</v>
      </c>
      <c r="F29" s="4" t="n">
        <v>-104.99249</v>
      </c>
      <c r="G29" s="4" t="n">
        <v>293</v>
      </c>
      <c r="H29" s="4" t="n">
        <v>0.81</v>
      </c>
      <c r="I29" s="4" t="n">
        <v>6</v>
      </c>
      <c r="J29" s="4" t="n">
        <v>7</v>
      </c>
      <c r="K29" s="4" t="n">
        <v>1</v>
      </c>
      <c r="L29" s="4" t="n">
        <v>2</v>
      </c>
      <c r="M29" s="4" t="n">
        <v>4</v>
      </c>
      <c r="N29" s="4" t="n">
        <v>4.91</v>
      </c>
      <c r="O29" s="4" t="n">
        <v>81</v>
      </c>
      <c r="P29" s="4" t="n">
        <v>276</v>
      </c>
    </row>
    <row r="30" customFormat="false" ht="15" hidden="false" customHeight="false" outlineLevel="0" collapsed="false">
      <c r="A30" s="4" t="s">
        <v>159</v>
      </c>
      <c r="B30" s="4" t="s">
        <v>118</v>
      </c>
      <c r="C30" s="4" t="n">
        <v>10</v>
      </c>
      <c r="D30" s="4" t="s">
        <v>62</v>
      </c>
      <c r="E30" s="4" t="n">
        <v>39.69667</v>
      </c>
      <c r="F30" s="4" t="n">
        <v>-104.99249</v>
      </c>
      <c r="G30" s="4" t="n">
        <v>293</v>
      </c>
      <c r="H30" s="4" t="n">
        <v>0.81</v>
      </c>
      <c r="I30" s="4" t="n">
        <v>5</v>
      </c>
      <c r="J30" s="4" t="n">
        <v>5</v>
      </c>
      <c r="K30" s="4" t="n">
        <v>1</v>
      </c>
      <c r="L30" s="4" t="n">
        <v>0</v>
      </c>
      <c r="M30" s="4" t="n">
        <v>4</v>
      </c>
      <c r="N30" s="4" t="n">
        <v>4.91</v>
      </c>
      <c r="O30" s="4" t="n">
        <v>21</v>
      </c>
      <c r="P30" s="4" t="n">
        <v>143</v>
      </c>
    </row>
    <row r="31" customFormat="false" ht="15" hidden="false" customHeight="false" outlineLevel="0" collapsed="false">
      <c r="A31" s="4" t="s">
        <v>160</v>
      </c>
      <c r="B31" s="4" t="s">
        <v>118</v>
      </c>
      <c r="C31" s="4" t="n">
        <v>10</v>
      </c>
      <c r="D31" s="4" t="s">
        <v>62</v>
      </c>
      <c r="E31" s="4" t="n">
        <v>39.69667</v>
      </c>
      <c r="F31" s="4" t="n">
        <v>-104.99249</v>
      </c>
      <c r="G31" s="4" t="n">
        <v>293</v>
      </c>
      <c r="H31" s="4" t="n">
        <v>0.81</v>
      </c>
      <c r="I31" s="4" t="n">
        <v>5</v>
      </c>
      <c r="J31" s="4" t="n">
        <v>6</v>
      </c>
      <c r="K31" s="4" t="n">
        <v>2</v>
      </c>
      <c r="L31" s="4" t="n">
        <v>1</v>
      </c>
      <c r="M31" s="4" t="n">
        <v>3</v>
      </c>
      <c r="N31" s="4" t="n">
        <v>3.69</v>
      </c>
      <c r="O31" s="4" t="n">
        <v>17</v>
      </c>
      <c r="P31" s="4" t="n">
        <v>90.9</v>
      </c>
    </row>
    <row r="32" customFormat="false" ht="15" hidden="false" customHeight="false" outlineLevel="0" collapsed="false">
      <c r="A32" s="4" t="s">
        <v>161</v>
      </c>
      <c r="B32" s="4" t="s">
        <v>118</v>
      </c>
      <c r="C32" s="4" t="n">
        <v>10</v>
      </c>
      <c r="D32" s="4" t="s">
        <v>62</v>
      </c>
      <c r="E32" s="4" t="n">
        <v>39.69667</v>
      </c>
      <c r="F32" s="4" t="n">
        <v>-104.99249</v>
      </c>
      <c r="G32" s="4" t="n">
        <v>293</v>
      </c>
      <c r="H32" s="4" t="n">
        <v>0.81</v>
      </c>
      <c r="I32" s="4" t="n">
        <v>5</v>
      </c>
      <c r="J32" s="4" t="n">
        <v>5</v>
      </c>
      <c r="K32" s="4" t="n">
        <v>1</v>
      </c>
      <c r="L32" s="4" t="n">
        <v>1</v>
      </c>
      <c r="M32" s="4" t="n">
        <v>3</v>
      </c>
      <c r="N32" s="4" t="n">
        <v>3.69</v>
      </c>
      <c r="O32" s="4" t="n">
        <v>17</v>
      </c>
      <c r="P32" s="4" t="n">
        <v>84.2</v>
      </c>
    </row>
    <row r="33" customFormat="false" ht="15" hidden="false" customHeight="false" outlineLevel="0" collapsed="false">
      <c r="A33" s="4" t="s">
        <v>162</v>
      </c>
      <c r="B33" s="4" t="s">
        <v>118</v>
      </c>
      <c r="C33" s="4" t="n">
        <v>10</v>
      </c>
      <c r="D33" s="4" t="s">
        <v>62</v>
      </c>
      <c r="E33" s="4" t="n">
        <v>39.69667</v>
      </c>
      <c r="F33" s="4" t="n">
        <v>-104.99249</v>
      </c>
      <c r="G33" s="4" t="n">
        <v>293</v>
      </c>
      <c r="H33" s="4" t="n">
        <v>0.81</v>
      </c>
      <c r="I33" s="4" t="n">
        <v>9</v>
      </c>
      <c r="J33" s="4" t="n">
        <v>11</v>
      </c>
      <c r="K33" s="4" t="n">
        <v>6</v>
      </c>
      <c r="L33" s="4" t="n">
        <v>1</v>
      </c>
      <c r="M33" s="4" t="n">
        <v>4</v>
      </c>
      <c r="N33" s="4" t="n">
        <v>4.91</v>
      </c>
      <c r="O33" s="4" t="n">
        <v>13</v>
      </c>
      <c r="P33" s="4" t="n">
        <v>79.1</v>
      </c>
    </row>
    <row r="34" customFormat="false" ht="15" hidden="false" customHeight="false" outlineLevel="0" collapsed="false">
      <c r="A34" s="4" t="s">
        <v>163</v>
      </c>
      <c r="B34" s="4" t="s">
        <v>118</v>
      </c>
      <c r="C34" s="4" t="n">
        <v>10</v>
      </c>
      <c r="D34" s="4" t="s">
        <v>62</v>
      </c>
      <c r="E34" s="4" t="n">
        <v>39.69667</v>
      </c>
      <c r="F34" s="4" t="n">
        <v>-104.99249</v>
      </c>
      <c r="G34" s="4" t="n">
        <v>293</v>
      </c>
      <c r="H34" s="4" t="n">
        <v>0.81</v>
      </c>
      <c r="I34" s="4" t="n">
        <v>9</v>
      </c>
      <c r="J34" s="4" t="n">
        <v>12</v>
      </c>
      <c r="K34" s="4" t="n">
        <v>2</v>
      </c>
      <c r="L34" s="4" t="n">
        <v>3</v>
      </c>
      <c r="M34" s="4" t="n">
        <v>7</v>
      </c>
      <c r="N34" s="4" t="n">
        <v>8.6</v>
      </c>
      <c r="O34" s="4" t="n">
        <v>16</v>
      </c>
      <c r="P34" s="4" t="n">
        <v>80.2</v>
      </c>
    </row>
    <row r="35" customFormat="false" ht="15" hidden="false" customHeight="false" outlineLevel="0" collapsed="false">
      <c r="A35" s="4" t="s">
        <v>164</v>
      </c>
      <c r="B35" s="4" t="s">
        <v>118</v>
      </c>
      <c r="C35" s="4" t="n">
        <v>10</v>
      </c>
      <c r="D35" s="4" t="s">
        <v>62</v>
      </c>
      <c r="E35" s="4" t="n">
        <v>39.69667</v>
      </c>
      <c r="F35" s="4" t="n">
        <v>-104.99249</v>
      </c>
      <c r="G35" s="4" t="n">
        <v>293</v>
      </c>
      <c r="H35" s="4" t="n">
        <v>0.81</v>
      </c>
      <c r="I35" s="4" t="n">
        <v>3</v>
      </c>
      <c r="J35" s="4" t="n">
        <v>3</v>
      </c>
      <c r="K35" s="4" t="n">
        <v>1</v>
      </c>
      <c r="L35" s="4" t="n">
        <v>0</v>
      </c>
      <c r="M35" s="4" t="n">
        <v>2</v>
      </c>
      <c r="N35" s="4" t="n">
        <v>2.46</v>
      </c>
      <c r="O35" s="4" t="n">
        <v>22</v>
      </c>
      <c r="P35" s="4" t="n">
        <v>81</v>
      </c>
    </row>
    <row r="37" customFormat="false" ht="15" hidden="false" customHeight="false" outlineLevel="0" collapsed="false">
      <c r="A37" s="6" t="s">
        <v>177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16" min="3" style="0" width="10"/>
  </cols>
  <sheetData>
    <row r="1" customFormat="false" ht="35.05" hidden="false" customHeight="false" outlineLevel="0" collapsed="false">
      <c r="A1" s="3" t="s">
        <v>25</v>
      </c>
      <c r="B1" s="3" t="s">
        <v>26</v>
      </c>
      <c r="C1" s="3" t="s">
        <v>178</v>
      </c>
      <c r="D1" s="3" t="s">
        <v>179</v>
      </c>
      <c r="E1" s="3" t="s">
        <v>180</v>
      </c>
      <c r="F1" s="3" t="s">
        <v>42</v>
      </c>
      <c r="G1" s="3" t="s">
        <v>181</v>
      </c>
      <c r="H1" s="3" t="s">
        <v>182</v>
      </c>
      <c r="I1" s="3" t="s">
        <v>183</v>
      </c>
      <c r="J1" s="3" t="s">
        <v>184</v>
      </c>
      <c r="K1" s="3" t="s">
        <v>185</v>
      </c>
      <c r="L1" s="3" t="s">
        <v>186</v>
      </c>
      <c r="M1" s="3" t="s">
        <v>187</v>
      </c>
      <c r="N1" s="3" t="s">
        <v>43</v>
      </c>
      <c r="O1" s="3" t="s">
        <v>188</v>
      </c>
      <c r="P1" s="3" t="s">
        <v>189</v>
      </c>
    </row>
    <row r="2" customFormat="false" ht="15" hidden="false" customHeight="false" outlineLevel="0" collapsed="false">
      <c r="A2" s="4" t="n">
        <v>10</v>
      </c>
      <c r="B2" s="4" t="s">
        <v>62</v>
      </c>
      <c r="C2" s="4" t="n">
        <v>50</v>
      </c>
      <c r="D2" s="4" t="n">
        <v>31</v>
      </c>
      <c r="E2" s="4" t="n">
        <v>19</v>
      </c>
      <c r="F2" s="4" t="n">
        <v>0.62</v>
      </c>
      <c r="G2" s="4" t="n">
        <v>0.482</v>
      </c>
      <c r="H2" s="4" t="n">
        <v>0.743</v>
      </c>
      <c r="I2" s="4" t="n">
        <v>50</v>
      </c>
      <c r="J2" s="4" t="n">
        <v>2</v>
      </c>
      <c r="K2" s="4" t="n">
        <v>0.04</v>
      </c>
      <c r="L2" s="4" t="n">
        <v>0.011</v>
      </c>
      <c r="M2" s="4" t="n">
        <v>0.135</v>
      </c>
      <c r="N2" s="4" t="n">
        <v>0.71</v>
      </c>
      <c r="O2" s="4" t="n">
        <v>0.5</v>
      </c>
      <c r="P2" s="4" t="n">
        <v>0.9</v>
      </c>
    </row>
    <row r="4" customFormat="false" ht="15" hidden="false" customHeight="false" outlineLevel="0" collapsed="false">
      <c r="A4" s="6" t="s">
        <v>190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19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10" min="7" style="0" width="7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7"/>
  </cols>
  <sheetData>
    <row r="1" customFormat="false" ht="23.85" hidden="false" customHeight="false" outlineLevel="0" collapsed="false">
      <c r="A1" s="3" t="s">
        <v>191</v>
      </c>
      <c r="B1" s="3" t="s">
        <v>192</v>
      </c>
      <c r="C1" s="3" t="s">
        <v>193</v>
      </c>
      <c r="D1" s="3" t="s">
        <v>142</v>
      </c>
      <c r="E1" s="3" t="s">
        <v>127</v>
      </c>
      <c r="F1" s="3" t="s">
        <v>194</v>
      </c>
      <c r="G1" s="3" t="s">
        <v>195</v>
      </c>
      <c r="H1" s="3" t="s">
        <v>196</v>
      </c>
      <c r="I1" s="3" t="s">
        <v>197</v>
      </c>
      <c r="J1" s="3" t="s">
        <v>198</v>
      </c>
      <c r="K1" s="3" t="s">
        <v>199</v>
      </c>
      <c r="L1" s="3" t="s">
        <v>200</v>
      </c>
      <c r="M1" s="3" t="s">
        <v>201</v>
      </c>
    </row>
    <row r="2" customFormat="false" ht="15" hidden="false" customHeight="false" outlineLevel="0" collapsed="false">
      <c r="A2" s="0" t="n">
        <v>3</v>
      </c>
      <c r="B2" s="0" t="s">
        <v>202</v>
      </c>
      <c r="C2" s="0" t="s">
        <v>203</v>
      </c>
      <c r="D2" s="0" t="s">
        <v>153</v>
      </c>
      <c r="E2" s="0" t="s">
        <v>154</v>
      </c>
      <c r="F2" s="0" t="n">
        <v>0</v>
      </c>
      <c r="G2" s="0" t="s">
        <v>204</v>
      </c>
      <c r="H2" s="0" t="s">
        <v>205</v>
      </c>
      <c r="I2" s="0" t="s">
        <v>206</v>
      </c>
      <c r="J2" s="0" t="s">
        <v>207</v>
      </c>
      <c r="K2" s="0" t="n">
        <v>0.349</v>
      </c>
      <c r="L2" s="0" t="s">
        <v>208</v>
      </c>
      <c r="M2" s="0" t="n">
        <v>1</v>
      </c>
    </row>
    <row r="3" customFormat="false" ht="15" hidden="false" customHeight="false" outlineLevel="0" collapsed="false">
      <c r="A3" s="0" t="n">
        <v>3</v>
      </c>
      <c r="B3" s="0" t="s">
        <v>209</v>
      </c>
      <c r="C3" s="0" t="s">
        <v>210</v>
      </c>
      <c r="D3" s="0" t="s">
        <v>153</v>
      </c>
      <c r="E3" s="0" t="s">
        <v>154</v>
      </c>
      <c r="F3" s="0" t="n">
        <v>0</v>
      </c>
      <c r="G3" s="0" t="s">
        <v>204</v>
      </c>
      <c r="H3" s="0" t="s">
        <v>205</v>
      </c>
      <c r="I3" s="0" t="s">
        <v>206</v>
      </c>
      <c r="J3" s="0" t="s">
        <v>207</v>
      </c>
      <c r="K3" s="0" t="n">
        <v>0.819</v>
      </c>
      <c r="L3" s="0" t="s">
        <v>208</v>
      </c>
      <c r="M3" s="0" t="n">
        <v>1</v>
      </c>
    </row>
    <row r="4" customFormat="false" ht="15" hidden="false" customHeight="false" outlineLevel="0" collapsed="false">
      <c r="A4" s="0" t="n">
        <v>3</v>
      </c>
      <c r="B4" s="0" t="s">
        <v>211</v>
      </c>
      <c r="C4" s="0" t="s">
        <v>212</v>
      </c>
      <c r="D4" s="0" t="s">
        <v>156</v>
      </c>
      <c r="E4" s="0" t="s">
        <v>154</v>
      </c>
      <c r="F4" s="0" t="n">
        <v>0</v>
      </c>
      <c r="G4" s="0" t="s">
        <v>204</v>
      </c>
      <c r="H4" s="0" t="s">
        <v>205</v>
      </c>
      <c r="I4" s="0" t="s">
        <v>206</v>
      </c>
      <c r="J4" s="0" t="s">
        <v>207</v>
      </c>
      <c r="K4" s="0" t="n">
        <v>0.739</v>
      </c>
      <c r="L4" s="0" t="s">
        <v>208</v>
      </c>
      <c r="M4" s="0" t="n">
        <v>1</v>
      </c>
    </row>
    <row r="5" customFormat="false" ht="15" hidden="false" customHeight="false" outlineLevel="0" collapsed="false">
      <c r="A5" s="0" t="n">
        <v>3</v>
      </c>
      <c r="B5" s="0" t="s">
        <v>213</v>
      </c>
      <c r="C5" s="0" t="s">
        <v>214</v>
      </c>
      <c r="D5" s="0" t="s">
        <v>156</v>
      </c>
      <c r="E5" s="0" t="s">
        <v>154</v>
      </c>
      <c r="F5" s="0" t="n">
        <v>0</v>
      </c>
      <c r="G5" s="0" t="s">
        <v>204</v>
      </c>
      <c r="H5" s="0" t="s">
        <v>205</v>
      </c>
      <c r="I5" s="0" t="s">
        <v>206</v>
      </c>
      <c r="J5" s="0" t="s">
        <v>207</v>
      </c>
      <c r="K5" s="0" t="n">
        <v>0.883</v>
      </c>
      <c r="L5" s="0" t="s">
        <v>147</v>
      </c>
      <c r="M5" s="0" t="n">
        <v>0</v>
      </c>
    </row>
    <row r="6" customFormat="false" ht="15" hidden="false" customHeight="false" outlineLevel="0" collapsed="false">
      <c r="A6" s="0" t="n">
        <v>7</v>
      </c>
      <c r="B6" s="0" t="s">
        <v>215</v>
      </c>
      <c r="C6" s="0" t="s">
        <v>216</v>
      </c>
      <c r="D6" s="0" t="s">
        <v>137</v>
      </c>
      <c r="E6" s="0" t="s">
        <v>118</v>
      </c>
      <c r="F6" s="0" t="n">
        <v>0</v>
      </c>
      <c r="G6" s="0" t="s">
        <v>204</v>
      </c>
      <c r="H6" s="0" t="s">
        <v>205</v>
      </c>
      <c r="I6" s="0" t="s">
        <v>206</v>
      </c>
      <c r="J6" s="0" t="s">
        <v>207</v>
      </c>
      <c r="K6" s="0" t="n">
        <v>0.425</v>
      </c>
      <c r="L6" s="0" t="s">
        <v>208</v>
      </c>
      <c r="M6" s="0" t="n">
        <v>1</v>
      </c>
    </row>
    <row r="7" customFormat="false" ht="15" hidden="false" customHeight="false" outlineLevel="0" collapsed="false">
      <c r="A7" s="0" t="n">
        <v>7</v>
      </c>
      <c r="B7" s="0" t="s">
        <v>217</v>
      </c>
      <c r="C7" s="0" t="s">
        <v>218</v>
      </c>
      <c r="D7" s="0" t="s">
        <v>137</v>
      </c>
      <c r="E7" s="0" t="s">
        <v>118</v>
      </c>
      <c r="F7" s="0" t="n">
        <v>0</v>
      </c>
      <c r="G7" s="0" t="s">
        <v>204</v>
      </c>
      <c r="H7" s="0" t="s">
        <v>205</v>
      </c>
      <c r="I7" s="0" t="s">
        <v>206</v>
      </c>
      <c r="J7" s="0" t="s">
        <v>207</v>
      </c>
      <c r="K7" s="0" t="n">
        <v>0.81</v>
      </c>
      <c r="L7" s="0" t="s">
        <v>208</v>
      </c>
      <c r="M7" s="0" t="n">
        <v>1</v>
      </c>
    </row>
    <row r="8" customFormat="false" ht="15" hidden="false" customHeight="false" outlineLevel="0" collapsed="false">
      <c r="A8" s="0" t="n">
        <v>7</v>
      </c>
      <c r="B8" s="0" t="s">
        <v>219</v>
      </c>
      <c r="C8" s="0" t="s">
        <v>220</v>
      </c>
      <c r="D8" s="0" t="s">
        <v>137</v>
      </c>
      <c r="E8" s="0" t="s">
        <v>118</v>
      </c>
      <c r="F8" s="0" t="n">
        <v>0</v>
      </c>
      <c r="G8" s="0" t="s">
        <v>204</v>
      </c>
      <c r="H8" s="0" t="s">
        <v>205</v>
      </c>
      <c r="I8" s="0" t="s">
        <v>206</v>
      </c>
      <c r="J8" s="0" t="s">
        <v>207</v>
      </c>
      <c r="K8" s="0" t="n">
        <v>0.429</v>
      </c>
      <c r="L8" s="0" t="s">
        <v>148</v>
      </c>
      <c r="M8" s="0" t="n">
        <v>0</v>
      </c>
    </row>
    <row r="9" customFormat="false" ht="15" hidden="false" customHeight="false" outlineLevel="0" collapsed="false">
      <c r="A9" s="0" t="n">
        <v>7</v>
      </c>
      <c r="B9" s="0" t="s">
        <v>221</v>
      </c>
      <c r="C9" s="0" t="s">
        <v>222</v>
      </c>
      <c r="D9" s="0" t="s">
        <v>157</v>
      </c>
      <c r="E9" s="0" t="s">
        <v>118</v>
      </c>
      <c r="F9" s="0" t="n">
        <v>0</v>
      </c>
      <c r="G9" s="0" t="s">
        <v>204</v>
      </c>
      <c r="H9" s="0" t="s">
        <v>205</v>
      </c>
      <c r="I9" s="0" t="s">
        <v>206</v>
      </c>
      <c r="J9" s="0" t="s">
        <v>207</v>
      </c>
      <c r="K9" s="0" t="n">
        <v>0.898</v>
      </c>
      <c r="L9" s="0" t="s">
        <v>147</v>
      </c>
      <c r="M9" s="0" t="n">
        <v>0</v>
      </c>
    </row>
    <row r="10" customFormat="false" ht="15" hidden="false" customHeight="false" outlineLevel="0" collapsed="false">
      <c r="A10" s="0" t="n">
        <v>7</v>
      </c>
      <c r="B10" s="0" t="s">
        <v>223</v>
      </c>
      <c r="C10" s="0" t="s">
        <v>224</v>
      </c>
      <c r="D10" s="0" t="s">
        <v>157</v>
      </c>
      <c r="E10" s="0" t="s">
        <v>118</v>
      </c>
      <c r="F10" s="0" t="n">
        <v>0</v>
      </c>
      <c r="G10" s="0" t="s">
        <v>204</v>
      </c>
      <c r="H10" s="0" t="s">
        <v>205</v>
      </c>
      <c r="I10" s="0" t="s">
        <v>206</v>
      </c>
      <c r="J10" s="0" t="s">
        <v>207</v>
      </c>
      <c r="K10" s="0" t="n">
        <v>0.768</v>
      </c>
      <c r="L10" s="0" t="s">
        <v>148</v>
      </c>
      <c r="M10" s="0" t="n">
        <v>0</v>
      </c>
    </row>
    <row r="11" customFormat="false" ht="15" hidden="false" customHeight="false" outlineLevel="0" collapsed="false">
      <c r="A11" s="0" t="n">
        <v>7</v>
      </c>
      <c r="B11" s="0" t="s">
        <v>225</v>
      </c>
      <c r="C11" s="0" t="s">
        <v>226</v>
      </c>
      <c r="D11" s="0" t="s">
        <v>157</v>
      </c>
      <c r="E11" s="0" t="s">
        <v>118</v>
      </c>
      <c r="F11" s="0" t="n">
        <v>0</v>
      </c>
      <c r="G11" s="0" t="s">
        <v>204</v>
      </c>
      <c r="H11" s="0" t="s">
        <v>205</v>
      </c>
      <c r="I11" s="0" t="s">
        <v>206</v>
      </c>
      <c r="J11" s="0" t="s">
        <v>207</v>
      </c>
      <c r="K11" s="0" t="n">
        <v>0.874</v>
      </c>
      <c r="L11" s="0" t="s">
        <v>208</v>
      </c>
      <c r="M11" s="0" t="n">
        <v>1</v>
      </c>
    </row>
    <row r="12" customFormat="false" ht="15" hidden="false" customHeight="false" outlineLevel="0" collapsed="false">
      <c r="A12" s="0" t="n">
        <v>7</v>
      </c>
      <c r="B12" s="0" t="s">
        <v>227</v>
      </c>
      <c r="C12" s="0" t="s">
        <v>228</v>
      </c>
      <c r="D12" s="0" t="s">
        <v>157</v>
      </c>
      <c r="E12" s="0" t="s">
        <v>118</v>
      </c>
      <c r="F12" s="0" t="n">
        <v>0</v>
      </c>
      <c r="G12" s="0" t="s">
        <v>204</v>
      </c>
      <c r="H12" s="0" t="s">
        <v>205</v>
      </c>
      <c r="I12" s="0" t="s">
        <v>206</v>
      </c>
      <c r="J12" s="0" t="s">
        <v>207</v>
      </c>
      <c r="K12" s="0" t="n">
        <v>0.384</v>
      </c>
      <c r="L12" s="0" t="s">
        <v>148</v>
      </c>
      <c r="M12" s="0" t="n">
        <v>0</v>
      </c>
    </row>
    <row r="13" customFormat="false" ht="15" hidden="false" customHeight="false" outlineLevel="0" collapsed="false">
      <c r="A13" s="0" t="n">
        <v>7</v>
      </c>
      <c r="B13" s="0" t="s">
        <v>229</v>
      </c>
      <c r="C13" s="0" t="s">
        <v>230</v>
      </c>
      <c r="D13" s="0" t="s">
        <v>157</v>
      </c>
      <c r="E13" s="0" t="s">
        <v>118</v>
      </c>
      <c r="F13" s="0" t="n">
        <v>0</v>
      </c>
      <c r="G13" s="0" t="s">
        <v>204</v>
      </c>
      <c r="H13" s="0" t="s">
        <v>205</v>
      </c>
      <c r="I13" s="0" t="s">
        <v>206</v>
      </c>
      <c r="J13" s="0" t="s">
        <v>207</v>
      </c>
      <c r="K13" s="0" t="n">
        <v>0.635</v>
      </c>
      <c r="L13" s="0" t="s">
        <v>208</v>
      </c>
      <c r="M13" s="0" t="n">
        <v>1</v>
      </c>
    </row>
    <row r="14" customFormat="false" ht="15" hidden="false" customHeight="false" outlineLevel="0" collapsed="false">
      <c r="A14" s="0" t="n">
        <v>7</v>
      </c>
      <c r="B14" s="0" t="s">
        <v>231</v>
      </c>
      <c r="C14" s="0" t="s">
        <v>232</v>
      </c>
      <c r="D14" s="0" t="s">
        <v>158</v>
      </c>
      <c r="E14" s="0" t="s">
        <v>118</v>
      </c>
      <c r="F14" s="0" t="n">
        <v>0</v>
      </c>
      <c r="G14" s="0" t="s">
        <v>204</v>
      </c>
      <c r="H14" s="0" t="s">
        <v>205</v>
      </c>
      <c r="I14" s="0" t="s">
        <v>206</v>
      </c>
      <c r="J14" s="0" t="s">
        <v>207</v>
      </c>
      <c r="K14" s="0" t="n">
        <v>0.78</v>
      </c>
      <c r="L14" s="0" t="s">
        <v>148</v>
      </c>
      <c r="M14" s="0" t="n">
        <v>0</v>
      </c>
    </row>
    <row r="15" customFormat="false" ht="15" hidden="false" customHeight="false" outlineLevel="0" collapsed="false">
      <c r="A15" s="0" t="n">
        <v>7</v>
      </c>
      <c r="B15" s="0" t="s">
        <v>233</v>
      </c>
      <c r="C15" s="0" t="s">
        <v>234</v>
      </c>
      <c r="D15" s="0" t="s">
        <v>158</v>
      </c>
      <c r="E15" s="0" t="s">
        <v>118</v>
      </c>
      <c r="F15" s="0" t="n">
        <v>0</v>
      </c>
      <c r="G15" s="0" t="s">
        <v>204</v>
      </c>
      <c r="H15" s="0" t="s">
        <v>205</v>
      </c>
      <c r="I15" s="0" t="s">
        <v>206</v>
      </c>
      <c r="J15" s="0" t="s">
        <v>207</v>
      </c>
      <c r="K15" s="0" t="n">
        <v>0.629</v>
      </c>
      <c r="L15" s="0" t="s">
        <v>148</v>
      </c>
      <c r="M15" s="0" t="n">
        <v>0</v>
      </c>
    </row>
    <row r="16" customFormat="false" ht="15" hidden="false" customHeight="false" outlineLevel="0" collapsed="false">
      <c r="A16" s="0" t="n">
        <v>7</v>
      </c>
      <c r="B16" s="0" t="s">
        <v>235</v>
      </c>
      <c r="C16" s="0" t="s">
        <v>236</v>
      </c>
      <c r="D16" s="0" t="s">
        <v>158</v>
      </c>
      <c r="E16" s="0" t="s">
        <v>118</v>
      </c>
      <c r="F16" s="0" t="n">
        <v>0</v>
      </c>
      <c r="G16" s="0" t="s">
        <v>204</v>
      </c>
      <c r="H16" s="0" t="s">
        <v>205</v>
      </c>
      <c r="I16" s="0" t="s">
        <v>206</v>
      </c>
      <c r="J16" s="0" t="s">
        <v>207</v>
      </c>
      <c r="K16" s="0" t="n">
        <v>0.743</v>
      </c>
      <c r="L16" s="0" t="s">
        <v>208</v>
      </c>
      <c r="M16" s="0" t="n">
        <v>1</v>
      </c>
    </row>
    <row r="17" customFormat="false" ht="15" hidden="false" customHeight="false" outlineLevel="0" collapsed="false">
      <c r="A17" s="0" t="n">
        <v>7</v>
      </c>
      <c r="B17" s="0" t="s">
        <v>237</v>
      </c>
      <c r="C17" s="0" t="s">
        <v>238</v>
      </c>
      <c r="D17" s="0" t="s">
        <v>158</v>
      </c>
      <c r="E17" s="0" t="s">
        <v>118</v>
      </c>
      <c r="F17" s="0" t="n">
        <v>0</v>
      </c>
      <c r="G17" s="0" t="s">
        <v>204</v>
      </c>
      <c r="H17" s="0" t="s">
        <v>205</v>
      </c>
      <c r="I17" s="0" t="s">
        <v>206</v>
      </c>
      <c r="J17" s="0" t="s">
        <v>207</v>
      </c>
      <c r="K17" s="0" t="n">
        <v>0.567</v>
      </c>
      <c r="L17" s="0" t="s">
        <v>148</v>
      </c>
      <c r="M17" s="0" t="n">
        <v>0</v>
      </c>
    </row>
    <row r="18" customFormat="false" ht="15" hidden="false" customHeight="false" outlineLevel="0" collapsed="false">
      <c r="A18" s="0" t="n">
        <v>7</v>
      </c>
      <c r="B18" s="0" t="s">
        <v>239</v>
      </c>
      <c r="C18" s="0" t="s">
        <v>240</v>
      </c>
      <c r="D18" s="0" t="s">
        <v>158</v>
      </c>
      <c r="E18" s="0" t="s">
        <v>118</v>
      </c>
      <c r="F18" s="0" t="n">
        <v>0</v>
      </c>
      <c r="G18" s="0" t="s">
        <v>204</v>
      </c>
      <c r="H18" s="0" t="s">
        <v>205</v>
      </c>
      <c r="I18" s="0" t="s">
        <v>206</v>
      </c>
      <c r="J18" s="0" t="s">
        <v>207</v>
      </c>
      <c r="K18" s="0" t="n">
        <v>0.371</v>
      </c>
      <c r="L18" s="0" t="s">
        <v>208</v>
      </c>
      <c r="M18" s="0" t="n">
        <v>1</v>
      </c>
    </row>
    <row r="19" customFormat="false" ht="15" hidden="false" customHeight="false" outlineLevel="0" collapsed="false">
      <c r="A19" s="0" t="n">
        <v>7</v>
      </c>
      <c r="B19" s="0" t="s">
        <v>241</v>
      </c>
      <c r="C19" s="0" t="s">
        <v>242</v>
      </c>
      <c r="D19" s="0" t="s">
        <v>158</v>
      </c>
      <c r="E19" s="0" t="s">
        <v>118</v>
      </c>
      <c r="F19" s="0" t="n">
        <v>0</v>
      </c>
      <c r="G19" s="0" t="s">
        <v>204</v>
      </c>
      <c r="H19" s="0" t="s">
        <v>205</v>
      </c>
      <c r="I19" s="0" t="s">
        <v>206</v>
      </c>
      <c r="J19" s="0" t="s">
        <v>207</v>
      </c>
      <c r="K19" s="0" t="n">
        <v>0.512</v>
      </c>
      <c r="L19" s="0" t="s">
        <v>148</v>
      </c>
      <c r="M19" s="0" t="n">
        <v>0</v>
      </c>
    </row>
    <row r="20" customFormat="false" ht="15" hidden="false" customHeight="false" outlineLevel="0" collapsed="false">
      <c r="A20" s="0" t="n">
        <v>7</v>
      </c>
      <c r="B20" s="0" t="s">
        <v>243</v>
      </c>
      <c r="C20" s="0" t="s">
        <v>244</v>
      </c>
      <c r="D20" s="0" t="s">
        <v>158</v>
      </c>
      <c r="E20" s="0" t="s">
        <v>118</v>
      </c>
      <c r="F20" s="0" t="n">
        <v>0</v>
      </c>
      <c r="G20" s="0" t="s">
        <v>204</v>
      </c>
      <c r="H20" s="0" t="s">
        <v>205</v>
      </c>
      <c r="I20" s="0" t="s">
        <v>206</v>
      </c>
      <c r="J20" s="0" t="s">
        <v>207</v>
      </c>
      <c r="K20" s="0" t="n">
        <v>0.579</v>
      </c>
      <c r="L20" s="0" t="s">
        <v>147</v>
      </c>
      <c r="M20" s="0" t="n">
        <v>0</v>
      </c>
    </row>
    <row r="21" customFormat="false" ht="15" hidden="false" customHeight="false" outlineLevel="0" collapsed="false">
      <c r="A21" s="0" t="n">
        <v>7</v>
      </c>
      <c r="B21" s="0" t="s">
        <v>245</v>
      </c>
      <c r="C21" s="0" t="s">
        <v>246</v>
      </c>
      <c r="D21" s="0" t="s">
        <v>158</v>
      </c>
      <c r="E21" s="0" t="s">
        <v>118</v>
      </c>
      <c r="F21" s="0" t="n">
        <v>0</v>
      </c>
      <c r="G21" s="0" t="s">
        <v>204</v>
      </c>
      <c r="H21" s="0" t="s">
        <v>205</v>
      </c>
      <c r="I21" s="0" t="s">
        <v>206</v>
      </c>
      <c r="J21" s="0" t="s">
        <v>207</v>
      </c>
      <c r="K21" s="0" t="n">
        <v>0.642</v>
      </c>
      <c r="L21" s="0" t="s">
        <v>147</v>
      </c>
      <c r="M21" s="0" t="n">
        <v>0</v>
      </c>
    </row>
    <row r="22" customFormat="false" ht="15" hidden="false" customHeight="false" outlineLevel="0" collapsed="false">
      <c r="A22" s="0" t="n">
        <v>7</v>
      </c>
      <c r="B22" s="0" t="s">
        <v>245</v>
      </c>
      <c r="C22" s="0" t="s">
        <v>246</v>
      </c>
      <c r="D22" s="0" t="s">
        <v>158</v>
      </c>
      <c r="E22" s="0" t="s">
        <v>118</v>
      </c>
      <c r="F22" s="0" t="n">
        <v>1</v>
      </c>
      <c r="G22" s="0" t="s">
        <v>247</v>
      </c>
      <c r="H22" s="0" t="s">
        <v>205</v>
      </c>
      <c r="I22" s="0" t="s">
        <v>248</v>
      </c>
      <c r="J22" s="0" t="s">
        <v>207</v>
      </c>
      <c r="K22" s="0" t="n">
        <v>0.573</v>
      </c>
      <c r="L22" s="0" t="s">
        <v>208</v>
      </c>
      <c r="M22" s="0" t="n">
        <v>1</v>
      </c>
    </row>
    <row r="23" customFormat="false" ht="15" hidden="false" customHeight="false" outlineLevel="0" collapsed="false">
      <c r="A23" s="0" t="n">
        <v>7</v>
      </c>
      <c r="B23" s="0" t="s">
        <v>249</v>
      </c>
      <c r="C23" s="0" t="s">
        <v>250</v>
      </c>
      <c r="D23" s="0" t="s">
        <v>159</v>
      </c>
      <c r="E23" s="0" t="s">
        <v>118</v>
      </c>
      <c r="F23" s="0" t="n">
        <v>0</v>
      </c>
      <c r="G23" s="0" t="s">
        <v>204</v>
      </c>
      <c r="H23" s="0" t="s">
        <v>205</v>
      </c>
      <c r="I23" s="0" t="s">
        <v>206</v>
      </c>
      <c r="J23" s="0" t="s">
        <v>207</v>
      </c>
      <c r="K23" s="0" t="n">
        <v>0.492</v>
      </c>
      <c r="L23" s="0" t="s">
        <v>208</v>
      </c>
      <c r="M23" s="0" t="n">
        <v>1</v>
      </c>
    </row>
    <row r="24" customFormat="false" ht="15" hidden="false" customHeight="false" outlineLevel="0" collapsed="false">
      <c r="A24" s="0" t="n">
        <v>7</v>
      </c>
      <c r="B24" s="0" t="s">
        <v>251</v>
      </c>
      <c r="C24" s="0" t="s">
        <v>252</v>
      </c>
      <c r="D24" s="0" t="s">
        <v>159</v>
      </c>
      <c r="E24" s="0" t="s">
        <v>118</v>
      </c>
      <c r="F24" s="0" t="n">
        <v>0</v>
      </c>
      <c r="G24" s="0" t="s">
        <v>204</v>
      </c>
      <c r="H24" s="0" t="s">
        <v>205</v>
      </c>
      <c r="I24" s="0" t="s">
        <v>206</v>
      </c>
      <c r="J24" s="0" t="s">
        <v>207</v>
      </c>
      <c r="K24" s="0" t="n">
        <v>0.285</v>
      </c>
      <c r="L24" s="0" t="s">
        <v>148</v>
      </c>
      <c r="M24" s="0" t="n">
        <v>0</v>
      </c>
    </row>
    <row r="25" customFormat="false" ht="15" hidden="false" customHeight="false" outlineLevel="0" collapsed="false">
      <c r="A25" s="0" t="n">
        <v>7</v>
      </c>
      <c r="B25" s="0" t="s">
        <v>253</v>
      </c>
      <c r="C25" s="0" t="s">
        <v>254</v>
      </c>
      <c r="D25" s="0" t="s">
        <v>159</v>
      </c>
      <c r="E25" s="0" t="s">
        <v>118</v>
      </c>
      <c r="F25" s="0" t="n">
        <v>0</v>
      </c>
      <c r="G25" s="0" t="s">
        <v>204</v>
      </c>
      <c r="H25" s="0" t="s">
        <v>205</v>
      </c>
      <c r="I25" s="0" t="s">
        <v>206</v>
      </c>
      <c r="J25" s="0" t="s">
        <v>207</v>
      </c>
      <c r="K25" s="0" t="n">
        <v>0.596</v>
      </c>
      <c r="L25" s="0" t="s">
        <v>208</v>
      </c>
      <c r="M25" s="0" t="n">
        <v>1</v>
      </c>
    </row>
    <row r="26" customFormat="false" ht="15" hidden="false" customHeight="false" outlineLevel="0" collapsed="false">
      <c r="A26" s="0" t="n">
        <v>7</v>
      </c>
      <c r="B26" s="0" t="s">
        <v>255</v>
      </c>
      <c r="C26" s="0" t="s">
        <v>256</v>
      </c>
      <c r="D26" s="0" t="s">
        <v>159</v>
      </c>
      <c r="E26" s="0" t="s">
        <v>118</v>
      </c>
      <c r="F26" s="0" t="n">
        <v>0</v>
      </c>
      <c r="G26" s="0" t="s">
        <v>204</v>
      </c>
      <c r="H26" s="0" t="s">
        <v>205</v>
      </c>
      <c r="I26" s="0" t="s">
        <v>206</v>
      </c>
      <c r="J26" s="0" t="s">
        <v>207</v>
      </c>
      <c r="K26" s="0" t="n">
        <v>0.383</v>
      </c>
      <c r="L26" s="0" t="s">
        <v>148</v>
      </c>
      <c r="M26" s="0" t="n">
        <v>0</v>
      </c>
    </row>
    <row r="27" customFormat="false" ht="15" hidden="false" customHeight="false" outlineLevel="0" collapsed="false">
      <c r="A27" s="0" t="n">
        <v>7</v>
      </c>
      <c r="B27" s="0" t="s">
        <v>257</v>
      </c>
      <c r="C27" s="0" t="s">
        <v>258</v>
      </c>
      <c r="D27" s="0" t="s">
        <v>159</v>
      </c>
      <c r="E27" s="0" t="s">
        <v>118</v>
      </c>
      <c r="F27" s="0" t="n">
        <v>0</v>
      </c>
      <c r="G27" s="0" t="s">
        <v>204</v>
      </c>
      <c r="H27" s="0" t="s">
        <v>205</v>
      </c>
      <c r="I27" s="0" t="s">
        <v>206</v>
      </c>
      <c r="J27" s="0" t="s">
        <v>207</v>
      </c>
      <c r="K27" s="0" t="n">
        <v>0.706</v>
      </c>
      <c r="L27" s="0" t="s">
        <v>148</v>
      </c>
      <c r="M27" s="0" t="n">
        <v>0</v>
      </c>
    </row>
    <row r="28" customFormat="false" ht="15" hidden="false" customHeight="false" outlineLevel="0" collapsed="false">
      <c r="A28" s="0" t="n">
        <v>7</v>
      </c>
      <c r="B28" s="0" t="s">
        <v>259</v>
      </c>
      <c r="C28" s="0" t="s">
        <v>260</v>
      </c>
      <c r="D28" s="0" t="s">
        <v>159</v>
      </c>
      <c r="E28" s="0" t="s">
        <v>118</v>
      </c>
      <c r="F28" s="0" t="n">
        <v>0</v>
      </c>
      <c r="G28" s="0" t="s">
        <v>204</v>
      </c>
      <c r="H28" s="0" t="s">
        <v>205</v>
      </c>
      <c r="I28" s="0" t="s">
        <v>206</v>
      </c>
      <c r="J28" s="0" t="s">
        <v>207</v>
      </c>
      <c r="K28" s="0" t="n">
        <v>0.331</v>
      </c>
      <c r="L28" s="0" t="s">
        <v>208</v>
      </c>
      <c r="M28" s="0" t="n">
        <v>1</v>
      </c>
    </row>
    <row r="29" customFormat="false" ht="15" hidden="false" customHeight="false" outlineLevel="0" collapsed="false">
      <c r="A29" s="0" t="n">
        <v>7</v>
      </c>
      <c r="B29" s="0" t="s">
        <v>261</v>
      </c>
      <c r="C29" s="0" t="s">
        <v>262</v>
      </c>
      <c r="D29" s="0" t="s">
        <v>159</v>
      </c>
      <c r="E29" s="0" t="s">
        <v>118</v>
      </c>
      <c r="F29" s="0" t="n">
        <v>0</v>
      </c>
      <c r="G29" s="0" t="s">
        <v>204</v>
      </c>
      <c r="H29" s="0" t="s">
        <v>205</v>
      </c>
      <c r="I29" s="0" t="s">
        <v>206</v>
      </c>
      <c r="J29" s="0" t="s">
        <v>207</v>
      </c>
      <c r="K29" s="0" t="n">
        <v>0.63</v>
      </c>
      <c r="L29" s="0" t="s">
        <v>208</v>
      </c>
      <c r="M29" s="0" t="n">
        <v>1</v>
      </c>
    </row>
    <row r="30" customFormat="false" ht="15" hidden="false" customHeight="false" outlineLevel="0" collapsed="false">
      <c r="A30" s="0" t="n">
        <v>7</v>
      </c>
      <c r="B30" s="0" t="s">
        <v>263</v>
      </c>
      <c r="C30" s="0" t="s">
        <v>264</v>
      </c>
      <c r="D30" s="0" t="s">
        <v>159</v>
      </c>
      <c r="E30" s="0" t="s">
        <v>118</v>
      </c>
      <c r="F30" s="0" t="n">
        <v>0</v>
      </c>
      <c r="G30" s="0" t="s">
        <v>204</v>
      </c>
      <c r="H30" s="0" t="s">
        <v>205</v>
      </c>
      <c r="I30" s="0" t="s">
        <v>206</v>
      </c>
      <c r="J30" s="0" t="s">
        <v>207</v>
      </c>
      <c r="K30" s="0" t="n">
        <v>0.897</v>
      </c>
      <c r="L30" s="0" t="s">
        <v>208</v>
      </c>
      <c r="M30" s="0" t="n">
        <v>1</v>
      </c>
    </row>
    <row r="31" customFormat="false" ht="15" hidden="false" customHeight="false" outlineLevel="0" collapsed="false">
      <c r="A31" s="0" t="n">
        <v>7</v>
      </c>
      <c r="B31" s="0" t="s">
        <v>265</v>
      </c>
      <c r="C31" s="0" t="s">
        <v>266</v>
      </c>
      <c r="D31" s="0" t="s">
        <v>160</v>
      </c>
      <c r="E31" s="0" t="s">
        <v>118</v>
      </c>
      <c r="F31" s="0" t="n">
        <v>0</v>
      </c>
      <c r="G31" s="0" t="s">
        <v>204</v>
      </c>
      <c r="H31" s="0" t="s">
        <v>205</v>
      </c>
      <c r="I31" s="0" t="s">
        <v>206</v>
      </c>
      <c r="J31" s="0" t="s">
        <v>207</v>
      </c>
      <c r="K31" s="0" t="n">
        <v>0.283</v>
      </c>
      <c r="L31" s="0" t="s">
        <v>147</v>
      </c>
      <c r="M31" s="0" t="n">
        <v>0</v>
      </c>
    </row>
    <row r="32" customFormat="false" ht="15" hidden="false" customHeight="false" outlineLevel="0" collapsed="false">
      <c r="A32" s="0" t="n">
        <v>7</v>
      </c>
      <c r="B32" s="0" t="s">
        <v>265</v>
      </c>
      <c r="C32" s="0" t="s">
        <v>266</v>
      </c>
      <c r="D32" s="0" t="s">
        <v>160</v>
      </c>
      <c r="E32" s="0" t="s">
        <v>118</v>
      </c>
      <c r="F32" s="0" t="n">
        <v>1</v>
      </c>
      <c r="G32" s="0" t="s">
        <v>247</v>
      </c>
      <c r="H32" s="0" t="s">
        <v>205</v>
      </c>
      <c r="I32" s="0" t="s">
        <v>248</v>
      </c>
      <c r="J32" s="0" t="s">
        <v>207</v>
      </c>
      <c r="K32" s="0" t="n">
        <v>0.777</v>
      </c>
      <c r="L32" s="0" t="s">
        <v>148</v>
      </c>
      <c r="M32" s="0" t="n">
        <v>0</v>
      </c>
    </row>
    <row r="33" customFormat="false" ht="15" hidden="false" customHeight="false" outlineLevel="0" collapsed="false">
      <c r="A33" s="0" t="n">
        <v>7</v>
      </c>
      <c r="B33" s="0" t="s">
        <v>267</v>
      </c>
      <c r="C33" s="0" t="s">
        <v>268</v>
      </c>
      <c r="D33" s="0" t="s">
        <v>160</v>
      </c>
      <c r="E33" s="0" t="s">
        <v>118</v>
      </c>
      <c r="F33" s="0" t="n">
        <v>0</v>
      </c>
      <c r="G33" s="0" t="s">
        <v>204</v>
      </c>
      <c r="H33" s="0" t="s">
        <v>205</v>
      </c>
      <c r="I33" s="0" t="s">
        <v>206</v>
      </c>
      <c r="J33" s="0" t="s">
        <v>207</v>
      </c>
      <c r="K33" s="0" t="n">
        <v>0.777</v>
      </c>
      <c r="L33" s="0" t="s">
        <v>208</v>
      </c>
      <c r="M33" s="0" t="n">
        <v>1</v>
      </c>
    </row>
    <row r="34" customFormat="false" ht="15" hidden="false" customHeight="false" outlineLevel="0" collapsed="false">
      <c r="A34" s="0" t="n">
        <v>7</v>
      </c>
      <c r="B34" s="0" t="s">
        <v>269</v>
      </c>
      <c r="C34" s="0" t="s">
        <v>270</v>
      </c>
      <c r="D34" s="0" t="s">
        <v>160</v>
      </c>
      <c r="E34" s="0" t="s">
        <v>118</v>
      </c>
      <c r="F34" s="0" t="n">
        <v>0</v>
      </c>
      <c r="G34" s="0" t="s">
        <v>204</v>
      </c>
      <c r="H34" s="0" t="s">
        <v>205</v>
      </c>
      <c r="I34" s="0" t="s">
        <v>206</v>
      </c>
      <c r="J34" s="0" t="s">
        <v>207</v>
      </c>
      <c r="K34" s="0" t="n">
        <v>0.254</v>
      </c>
      <c r="L34" s="0" t="s">
        <v>147</v>
      </c>
      <c r="M34" s="0" t="n">
        <v>0</v>
      </c>
    </row>
    <row r="35" customFormat="false" ht="15" hidden="false" customHeight="false" outlineLevel="0" collapsed="false">
      <c r="A35" s="0" t="n">
        <v>7</v>
      </c>
      <c r="B35" s="0" t="s">
        <v>269</v>
      </c>
      <c r="C35" s="0" t="s">
        <v>270</v>
      </c>
      <c r="D35" s="0" t="s">
        <v>160</v>
      </c>
      <c r="E35" s="0" t="s">
        <v>118</v>
      </c>
      <c r="F35" s="0" t="n">
        <v>1</v>
      </c>
      <c r="G35" s="0" t="s">
        <v>247</v>
      </c>
      <c r="H35" s="0" t="s">
        <v>205</v>
      </c>
      <c r="I35" s="0" t="s">
        <v>248</v>
      </c>
      <c r="J35" s="0" t="s">
        <v>207</v>
      </c>
      <c r="K35" s="0" t="n">
        <v>0.604</v>
      </c>
      <c r="L35" s="0" t="s">
        <v>208</v>
      </c>
      <c r="M35" s="0" t="n">
        <v>1</v>
      </c>
    </row>
    <row r="36" customFormat="false" ht="15" hidden="false" customHeight="false" outlineLevel="0" collapsed="false">
      <c r="A36" s="0" t="n">
        <v>7</v>
      </c>
      <c r="B36" s="0" t="s">
        <v>271</v>
      </c>
      <c r="C36" s="0" t="s">
        <v>272</v>
      </c>
      <c r="D36" s="0" t="s">
        <v>160</v>
      </c>
      <c r="E36" s="0" t="s">
        <v>118</v>
      </c>
      <c r="F36" s="0" t="n">
        <v>0</v>
      </c>
      <c r="G36" s="0" t="s">
        <v>204</v>
      </c>
      <c r="H36" s="0" t="s">
        <v>205</v>
      </c>
      <c r="I36" s="0" t="s">
        <v>206</v>
      </c>
      <c r="J36" s="0" t="s">
        <v>207</v>
      </c>
      <c r="K36" s="0" t="n">
        <v>0.26</v>
      </c>
      <c r="L36" s="0" t="s">
        <v>147</v>
      </c>
      <c r="M36" s="0" t="n">
        <v>0</v>
      </c>
    </row>
    <row r="37" customFormat="false" ht="15" hidden="false" customHeight="false" outlineLevel="0" collapsed="false">
      <c r="A37" s="0" t="n">
        <v>7</v>
      </c>
      <c r="B37" s="0" t="s">
        <v>273</v>
      </c>
      <c r="C37" s="0" t="s">
        <v>274</v>
      </c>
      <c r="D37" s="0" t="s">
        <v>161</v>
      </c>
      <c r="E37" s="0" t="s">
        <v>118</v>
      </c>
      <c r="F37" s="0" t="n">
        <v>0</v>
      </c>
      <c r="G37" s="0" t="s">
        <v>204</v>
      </c>
      <c r="H37" s="0" t="s">
        <v>205</v>
      </c>
      <c r="I37" s="0" t="s">
        <v>206</v>
      </c>
      <c r="J37" s="0" t="s">
        <v>207</v>
      </c>
      <c r="K37" s="0" t="n">
        <v>0.728</v>
      </c>
      <c r="L37" s="0" t="s">
        <v>147</v>
      </c>
      <c r="M37" s="0" t="n">
        <v>0</v>
      </c>
    </row>
    <row r="38" customFormat="false" ht="15" hidden="false" customHeight="false" outlineLevel="0" collapsed="false">
      <c r="A38" s="0" t="n">
        <v>7</v>
      </c>
      <c r="B38" s="0" t="s">
        <v>275</v>
      </c>
      <c r="C38" s="0" t="s">
        <v>276</v>
      </c>
      <c r="D38" s="0" t="s">
        <v>161</v>
      </c>
      <c r="E38" s="0" t="s">
        <v>118</v>
      </c>
      <c r="F38" s="0" t="n">
        <v>0</v>
      </c>
      <c r="G38" s="0" t="s">
        <v>204</v>
      </c>
      <c r="H38" s="0" t="s">
        <v>205</v>
      </c>
      <c r="I38" s="0" t="s">
        <v>206</v>
      </c>
      <c r="J38" s="0" t="s">
        <v>207</v>
      </c>
      <c r="K38" s="0" t="n">
        <v>0.529</v>
      </c>
      <c r="L38" s="0" t="s">
        <v>208</v>
      </c>
      <c r="M38" s="0" t="n">
        <v>1</v>
      </c>
    </row>
    <row r="39" customFormat="false" ht="15" hidden="false" customHeight="false" outlineLevel="0" collapsed="false">
      <c r="A39" s="0" t="n">
        <v>7</v>
      </c>
      <c r="B39" s="0" t="s">
        <v>277</v>
      </c>
      <c r="C39" s="0" t="s">
        <v>278</v>
      </c>
      <c r="D39" s="0" t="s">
        <v>161</v>
      </c>
      <c r="E39" s="0" t="s">
        <v>118</v>
      </c>
      <c r="F39" s="0" t="n">
        <v>0</v>
      </c>
      <c r="G39" s="0" t="s">
        <v>204</v>
      </c>
      <c r="H39" s="0" t="s">
        <v>205</v>
      </c>
      <c r="I39" s="0" t="s">
        <v>206</v>
      </c>
      <c r="J39" s="0" t="s">
        <v>207</v>
      </c>
      <c r="K39" s="0" t="n">
        <v>0.76</v>
      </c>
      <c r="L39" s="0" t="s">
        <v>148</v>
      </c>
      <c r="M39" s="0" t="n">
        <v>0</v>
      </c>
    </row>
    <row r="40" customFormat="false" ht="15" hidden="false" customHeight="false" outlineLevel="0" collapsed="false">
      <c r="A40" s="0" t="n">
        <v>7</v>
      </c>
      <c r="B40" s="0" t="s">
        <v>279</v>
      </c>
      <c r="C40" s="0" t="s">
        <v>280</v>
      </c>
      <c r="D40" s="0" t="s">
        <v>162</v>
      </c>
      <c r="E40" s="0" t="s">
        <v>118</v>
      </c>
      <c r="F40" s="0" t="n">
        <v>0</v>
      </c>
      <c r="G40" s="0" t="s">
        <v>204</v>
      </c>
      <c r="H40" s="0" t="s">
        <v>205</v>
      </c>
      <c r="I40" s="0" t="s">
        <v>206</v>
      </c>
      <c r="J40" s="0" t="s">
        <v>207</v>
      </c>
      <c r="K40" s="0" t="n">
        <v>0.866</v>
      </c>
      <c r="L40" s="0" t="s">
        <v>147</v>
      </c>
      <c r="M40" s="0" t="n">
        <v>0</v>
      </c>
    </row>
    <row r="41" customFormat="false" ht="15" hidden="false" customHeight="false" outlineLevel="0" collapsed="false">
      <c r="A41" s="0" t="n">
        <v>7</v>
      </c>
      <c r="B41" s="0" t="s">
        <v>281</v>
      </c>
      <c r="C41" s="0" t="s">
        <v>282</v>
      </c>
      <c r="D41" s="0" t="s">
        <v>162</v>
      </c>
      <c r="E41" s="0" t="s">
        <v>118</v>
      </c>
      <c r="F41" s="0" t="n">
        <v>0</v>
      </c>
      <c r="G41" s="0" t="s">
        <v>204</v>
      </c>
      <c r="H41" s="0" t="s">
        <v>205</v>
      </c>
      <c r="I41" s="0" t="s">
        <v>206</v>
      </c>
      <c r="J41" s="0" t="s">
        <v>207</v>
      </c>
      <c r="K41" s="0" t="n">
        <v>0.664</v>
      </c>
      <c r="L41" s="0" t="s">
        <v>147</v>
      </c>
      <c r="M41" s="0" t="n">
        <v>0</v>
      </c>
    </row>
    <row r="42" customFormat="false" ht="15" hidden="false" customHeight="false" outlineLevel="0" collapsed="false">
      <c r="A42" s="0" t="n">
        <v>7</v>
      </c>
      <c r="B42" s="0" t="s">
        <v>283</v>
      </c>
      <c r="C42" s="0" t="s">
        <v>284</v>
      </c>
      <c r="D42" s="0" t="s">
        <v>162</v>
      </c>
      <c r="E42" s="0" t="s">
        <v>118</v>
      </c>
      <c r="F42" s="0" t="n">
        <v>0</v>
      </c>
      <c r="G42" s="0" t="s">
        <v>204</v>
      </c>
      <c r="H42" s="0" t="s">
        <v>205</v>
      </c>
      <c r="I42" s="0" t="s">
        <v>206</v>
      </c>
      <c r="J42" s="0" t="s">
        <v>207</v>
      </c>
      <c r="K42" s="0" t="n">
        <v>0.455</v>
      </c>
      <c r="L42" s="0" t="s">
        <v>208</v>
      </c>
      <c r="M42" s="0" t="n">
        <v>1</v>
      </c>
    </row>
    <row r="43" customFormat="false" ht="15" hidden="false" customHeight="false" outlineLevel="0" collapsed="false">
      <c r="A43" s="0" t="n">
        <v>7</v>
      </c>
      <c r="B43" s="0" t="s">
        <v>285</v>
      </c>
      <c r="C43" s="0" t="s">
        <v>286</v>
      </c>
      <c r="D43" s="0" t="s">
        <v>162</v>
      </c>
      <c r="E43" s="0" t="s">
        <v>118</v>
      </c>
      <c r="F43" s="0" t="n">
        <v>0</v>
      </c>
      <c r="G43" s="0" t="s">
        <v>204</v>
      </c>
      <c r="H43" s="0" t="s">
        <v>205</v>
      </c>
      <c r="I43" s="0" t="s">
        <v>206</v>
      </c>
      <c r="J43" s="0" t="s">
        <v>207</v>
      </c>
      <c r="K43" s="0" t="n">
        <v>0.868</v>
      </c>
      <c r="L43" s="0" t="s">
        <v>147</v>
      </c>
      <c r="M43" s="0" t="n">
        <v>0</v>
      </c>
    </row>
    <row r="44" customFormat="false" ht="15" hidden="false" customHeight="false" outlineLevel="0" collapsed="false">
      <c r="A44" s="0" t="n">
        <v>7</v>
      </c>
      <c r="B44" s="0" t="s">
        <v>287</v>
      </c>
      <c r="C44" s="0" t="s">
        <v>288</v>
      </c>
      <c r="D44" s="0" t="s">
        <v>162</v>
      </c>
      <c r="E44" s="0" t="s">
        <v>118</v>
      </c>
      <c r="F44" s="0" t="n">
        <v>0</v>
      </c>
      <c r="G44" s="0" t="s">
        <v>204</v>
      </c>
      <c r="H44" s="0" t="s">
        <v>205</v>
      </c>
      <c r="I44" s="0" t="s">
        <v>206</v>
      </c>
      <c r="J44" s="0" t="s">
        <v>207</v>
      </c>
      <c r="K44" s="0" t="n">
        <v>0.574</v>
      </c>
      <c r="L44" s="0" t="s">
        <v>148</v>
      </c>
      <c r="M44" s="0" t="n">
        <v>0</v>
      </c>
    </row>
    <row r="45" customFormat="false" ht="15" hidden="false" customHeight="false" outlineLevel="0" collapsed="false">
      <c r="A45" s="0" t="n">
        <v>7</v>
      </c>
      <c r="B45" s="0" t="s">
        <v>289</v>
      </c>
      <c r="C45" s="0" t="s">
        <v>290</v>
      </c>
      <c r="D45" s="0" t="s">
        <v>162</v>
      </c>
      <c r="E45" s="0" t="s">
        <v>118</v>
      </c>
      <c r="F45" s="0" t="n">
        <v>0</v>
      </c>
      <c r="G45" s="0" t="s">
        <v>204</v>
      </c>
      <c r="H45" s="0" t="s">
        <v>205</v>
      </c>
      <c r="I45" s="0" t="s">
        <v>206</v>
      </c>
      <c r="J45" s="0" t="s">
        <v>207</v>
      </c>
      <c r="K45" s="0" t="n">
        <v>0.735</v>
      </c>
      <c r="L45" s="0" t="s">
        <v>208</v>
      </c>
      <c r="M45" s="0" t="n">
        <v>1</v>
      </c>
    </row>
    <row r="46" customFormat="false" ht="15" hidden="false" customHeight="false" outlineLevel="0" collapsed="false">
      <c r="A46" s="0" t="n">
        <v>7</v>
      </c>
      <c r="B46" s="0" t="s">
        <v>289</v>
      </c>
      <c r="C46" s="0" t="s">
        <v>290</v>
      </c>
      <c r="D46" s="0" t="s">
        <v>162</v>
      </c>
      <c r="E46" s="0" t="s">
        <v>118</v>
      </c>
      <c r="F46" s="0" t="n">
        <v>1</v>
      </c>
      <c r="G46" s="0" t="s">
        <v>247</v>
      </c>
      <c r="H46" s="0" t="s">
        <v>205</v>
      </c>
      <c r="I46" s="0" t="s">
        <v>248</v>
      </c>
      <c r="J46" s="0" t="s">
        <v>207</v>
      </c>
      <c r="K46" s="0" t="n">
        <v>0.305</v>
      </c>
      <c r="L46" s="0" t="s">
        <v>208</v>
      </c>
      <c r="M46" s="0" t="n">
        <v>1</v>
      </c>
    </row>
    <row r="47" customFormat="false" ht="15" hidden="false" customHeight="false" outlineLevel="0" collapsed="false">
      <c r="A47" s="0" t="n">
        <v>7</v>
      </c>
      <c r="B47" s="0" t="s">
        <v>291</v>
      </c>
      <c r="C47" s="0" t="s">
        <v>292</v>
      </c>
      <c r="D47" s="0" t="s">
        <v>163</v>
      </c>
      <c r="E47" s="0" t="s">
        <v>118</v>
      </c>
      <c r="F47" s="0" t="n">
        <v>0</v>
      </c>
      <c r="G47" s="0" t="s">
        <v>204</v>
      </c>
      <c r="H47" s="0" t="s">
        <v>205</v>
      </c>
      <c r="I47" s="0" t="s">
        <v>206</v>
      </c>
      <c r="J47" s="0" t="s">
        <v>207</v>
      </c>
      <c r="K47" s="0" t="n">
        <v>0.86</v>
      </c>
      <c r="L47" s="0" t="s">
        <v>148</v>
      </c>
      <c r="M47" s="0" t="n">
        <v>0</v>
      </c>
    </row>
    <row r="48" customFormat="false" ht="15" hidden="false" customHeight="false" outlineLevel="0" collapsed="false">
      <c r="A48" s="0" t="n">
        <v>7</v>
      </c>
      <c r="B48" s="0" t="s">
        <v>293</v>
      </c>
      <c r="C48" s="0" t="s">
        <v>294</v>
      </c>
      <c r="D48" s="0" t="s">
        <v>163</v>
      </c>
      <c r="E48" s="0" t="s">
        <v>118</v>
      </c>
      <c r="F48" s="0" t="n">
        <v>0</v>
      </c>
      <c r="G48" s="0" t="s">
        <v>204</v>
      </c>
      <c r="H48" s="0" t="s">
        <v>205</v>
      </c>
      <c r="I48" s="0" t="s">
        <v>206</v>
      </c>
      <c r="J48" s="0" t="s">
        <v>207</v>
      </c>
      <c r="K48" s="0" t="n">
        <v>0.448</v>
      </c>
      <c r="L48" s="0" t="s">
        <v>208</v>
      </c>
      <c r="M48" s="0" t="n">
        <v>1</v>
      </c>
    </row>
    <row r="49" customFormat="false" ht="15" hidden="false" customHeight="false" outlineLevel="0" collapsed="false">
      <c r="A49" s="0" t="n">
        <v>7</v>
      </c>
      <c r="B49" s="0" t="s">
        <v>295</v>
      </c>
      <c r="C49" s="0" t="s">
        <v>296</v>
      </c>
      <c r="D49" s="0" t="s">
        <v>163</v>
      </c>
      <c r="E49" s="0" t="s">
        <v>118</v>
      </c>
      <c r="F49" s="0" t="n">
        <v>0</v>
      </c>
      <c r="G49" s="0" t="s">
        <v>204</v>
      </c>
      <c r="H49" s="0" t="s">
        <v>205</v>
      </c>
      <c r="I49" s="0" t="s">
        <v>206</v>
      </c>
      <c r="J49" s="0" t="s">
        <v>207</v>
      </c>
      <c r="K49" s="0" t="n">
        <v>0.362</v>
      </c>
      <c r="L49" s="0" t="s">
        <v>208</v>
      </c>
      <c r="M49" s="0" t="n">
        <v>1</v>
      </c>
    </row>
    <row r="50" customFormat="false" ht="15" hidden="false" customHeight="false" outlineLevel="0" collapsed="false">
      <c r="A50" s="0" t="n">
        <v>7</v>
      </c>
      <c r="B50" s="0" t="s">
        <v>297</v>
      </c>
      <c r="C50" s="0" t="s">
        <v>298</v>
      </c>
      <c r="D50" s="0" t="s">
        <v>163</v>
      </c>
      <c r="E50" s="0" t="s">
        <v>118</v>
      </c>
      <c r="F50" s="0" t="n">
        <v>0</v>
      </c>
      <c r="G50" s="0" t="s">
        <v>204</v>
      </c>
      <c r="H50" s="0" t="s">
        <v>205</v>
      </c>
      <c r="I50" s="0" t="s">
        <v>206</v>
      </c>
      <c r="J50" s="0" t="s">
        <v>207</v>
      </c>
      <c r="K50" s="0" t="n">
        <v>0.271</v>
      </c>
      <c r="L50" s="0" t="s">
        <v>147</v>
      </c>
      <c r="M50" s="0" t="n">
        <v>0</v>
      </c>
    </row>
    <row r="51" customFormat="false" ht="15" hidden="false" customHeight="false" outlineLevel="0" collapsed="false">
      <c r="A51" s="0" t="n">
        <v>7</v>
      </c>
      <c r="B51" s="0" t="s">
        <v>299</v>
      </c>
      <c r="C51" s="0" t="s">
        <v>300</v>
      </c>
      <c r="D51" s="0" t="s">
        <v>163</v>
      </c>
      <c r="E51" s="0" t="s">
        <v>118</v>
      </c>
      <c r="F51" s="0" t="n">
        <v>0</v>
      </c>
      <c r="G51" s="0" t="s">
        <v>204</v>
      </c>
      <c r="H51" s="0" t="s">
        <v>205</v>
      </c>
      <c r="I51" s="0" t="s">
        <v>206</v>
      </c>
      <c r="J51" s="0" t="s">
        <v>207</v>
      </c>
      <c r="K51" s="0" t="n">
        <v>0.4</v>
      </c>
      <c r="L51" s="0" t="s">
        <v>208</v>
      </c>
      <c r="M51" s="0" t="n">
        <v>1</v>
      </c>
    </row>
    <row r="52" customFormat="false" ht="15" hidden="false" customHeight="false" outlineLevel="0" collapsed="false">
      <c r="A52" s="0" t="n">
        <v>7</v>
      </c>
      <c r="B52" s="0" t="s">
        <v>301</v>
      </c>
      <c r="C52" s="0" t="s">
        <v>302</v>
      </c>
      <c r="D52" s="0" t="s">
        <v>164</v>
      </c>
      <c r="E52" s="0" t="s">
        <v>118</v>
      </c>
      <c r="F52" s="0" t="n">
        <v>0</v>
      </c>
      <c r="G52" s="0" t="s">
        <v>204</v>
      </c>
      <c r="H52" s="0" t="s">
        <v>205</v>
      </c>
      <c r="I52" s="0" t="s">
        <v>206</v>
      </c>
      <c r="J52" s="0" t="s">
        <v>207</v>
      </c>
      <c r="K52" s="0" t="n">
        <v>0.605</v>
      </c>
      <c r="L52" s="0" t="s">
        <v>208</v>
      </c>
      <c r="M52" s="0" t="n">
        <v>1</v>
      </c>
    </row>
    <row r="53" customFormat="false" ht="15" hidden="false" customHeight="false" outlineLevel="0" collapsed="false">
      <c r="A53" s="0" t="n">
        <v>7</v>
      </c>
      <c r="B53" s="0" t="s">
        <v>303</v>
      </c>
      <c r="C53" s="0" t="s">
        <v>304</v>
      </c>
      <c r="D53" s="0" t="s">
        <v>164</v>
      </c>
      <c r="E53" s="0" t="s">
        <v>118</v>
      </c>
      <c r="F53" s="0" t="n">
        <v>0</v>
      </c>
      <c r="G53" s="0" t="s">
        <v>204</v>
      </c>
      <c r="H53" s="0" t="s">
        <v>205</v>
      </c>
      <c r="I53" s="0" t="s">
        <v>206</v>
      </c>
      <c r="J53" s="0" t="s">
        <v>207</v>
      </c>
      <c r="K53" s="0" t="n">
        <v>0.374</v>
      </c>
      <c r="L53" s="0" t="s">
        <v>148</v>
      </c>
      <c r="M53" s="0" t="n">
        <v>0</v>
      </c>
    </row>
    <row r="54" customFormat="false" ht="15" hidden="false" customHeight="false" outlineLevel="0" collapsed="false">
      <c r="A54" s="0" t="n">
        <v>7</v>
      </c>
      <c r="B54" s="0" t="s">
        <v>305</v>
      </c>
      <c r="C54" s="0" t="s">
        <v>306</v>
      </c>
      <c r="D54" s="0" t="s">
        <v>164</v>
      </c>
      <c r="E54" s="0" t="s">
        <v>118</v>
      </c>
      <c r="F54" s="0" t="n">
        <v>0</v>
      </c>
      <c r="G54" s="0" t="s">
        <v>204</v>
      </c>
      <c r="H54" s="0" t="s">
        <v>205</v>
      </c>
      <c r="I54" s="0" t="s">
        <v>206</v>
      </c>
      <c r="J54" s="0" t="s">
        <v>207</v>
      </c>
      <c r="K54" s="0" t="n">
        <v>0.326</v>
      </c>
      <c r="L54" s="0" t="s">
        <v>147</v>
      </c>
      <c r="M54" s="0" t="n">
        <v>0</v>
      </c>
    </row>
    <row r="55" customFormat="false" ht="15" hidden="false" customHeight="false" outlineLevel="0" collapsed="false">
      <c r="A55" s="0" t="n">
        <v>7</v>
      </c>
      <c r="B55" s="0" t="s">
        <v>307</v>
      </c>
      <c r="C55" s="0" t="s">
        <v>308</v>
      </c>
      <c r="D55" s="0" t="s">
        <v>164</v>
      </c>
      <c r="E55" s="0" t="s">
        <v>118</v>
      </c>
      <c r="F55" s="0" t="n">
        <v>0</v>
      </c>
      <c r="G55" s="0" t="s">
        <v>204</v>
      </c>
      <c r="H55" s="0" t="s">
        <v>205</v>
      </c>
      <c r="I55" s="0" t="s">
        <v>206</v>
      </c>
      <c r="J55" s="0" t="s">
        <v>207</v>
      </c>
      <c r="K55" s="0" t="n">
        <v>0.283</v>
      </c>
      <c r="L55" s="0" t="s">
        <v>208</v>
      </c>
      <c r="M55" s="0" t="n">
        <v>1</v>
      </c>
    </row>
    <row r="56" customFormat="false" ht="15" hidden="false" customHeight="false" outlineLevel="0" collapsed="false">
      <c r="A56" s="0" t="n">
        <v>7</v>
      </c>
      <c r="B56" s="0" t="s">
        <v>307</v>
      </c>
      <c r="C56" s="0" t="s">
        <v>308</v>
      </c>
      <c r="D56" s="0" t="s">
        <v>164</v>
      </c>
      <c r="E56" s="0" t="s">
        <v>118</v>
      </c>
      <c r="F56" s="0" t="n">
        <v>1</v>
      </c>
      <c r="G56" s="0" t="s">
        <v>247</v>
      </c>
      <c r="H56" s="0" t="s">
        <v>205</v>
      </c>
      <c r="I56" s="0" t="s">
        <v>248</v>
      </c>
      <c r="J56" s="0" t="s">
        <v>207</v>
      </c>
      <c r="K56" s="0" t="n">
        <v>0.455</v>
      </c>
      <c r="L56" s="0" t="s">
        <v>148</v>
      </c>
      <c r="M56" s="0" t="n">
        <v>0</v>
      </c>
    </row>
    <row r="57" customFormat="false" ht="15" hidden="false" customHeight="false" outlineLevel="0" collapsed="false">
      <c r="A57" s="0" t="n">
        <v>7</v>
      </c>
      <c r="B57" s="0" t="s">
        <v>309</v>
      </c>
      <c r="C57" s="0" t="s">
        <v>310</v>
      </c>
      <c r="D57" s="0" t="s">
        <v>164</v>
      </c>
      <c r="E57" s="0" t="s">
        <v>118</v>
      </c>
      <c r="F57" s="0" t="n">
        <v>0</v>
      </c>
      <c r="G57" s="0" t="s">
        <v>204</v>
      </c>
      <c r="H57" s="0" t="s">
        <v>205</v>
      </c>
      <c r="I57" s="0" t="s">
        <v>206</v>
      </c>
      <c r="J57" s="0" t="s">
        <v>207</v>
      </c>
      <c r="K57" s="0" t="n">
        <v>0.601</v>
      </c>
      <c r="L57" s="0" t="s">
        <v>208</v>
      </c>
      <c r="M57" s="0" t="n">
        <v>1</v>
      </c>
    </row>
    <row r="58" customFormat="false" ht="15" hidden="false" customHeight="false" outlineLevel="0" collapsed="false">
      <c r="A58" s="0" t="n">
        <v>7</v>
      </c>
      <c r="B58" s="0" t="s">
        <v>311</v>
      </c>
      <c r="C58" s="0" t="s">
        <v>312</v>
      </c>
      <c r="D58" s="0" t="s">
        <v>164</v>
      </c>
      <c r="E58" s="0" t="s">
        <v>118</v>
      </c>
      <c r="F58" s="0" t="n">
        <v>0</v>
      </c>
      <c r="G58" s="0" t="s">
        <v>204</v>
      </c>
      <c r="H58" s="0" t="s">
        <v>205</v>
      </c>
      <c r="I58" s="0" t="s">
        <v>206</v>
      </c>
      <c r="J58" s="0" t="s">
        <v>207</v>
      </c>
      <c r="K58" s="0" t="n">
        <v>0.401</v>
      </c>
      <c r="L58" s="0" t="s">
        <v>208</v>
      </c>
      <c r="M58" s="0" t="n">
        <v>1</v>
      </c>
    </row>
    <row r="59" customFormat="false" ht="15" hidden="false" customHeight="false" outlineLevel="0" collapsed="false">
      <c r="A59" s="0" t="n">
        <v>7</v>
      </c>
      <c r="B59" s="0" t="s">
        <v>313</v>
      </c>
      <c r="C59" s="0" t="s">
        <v>314</v>
      </c>
      <c r="D59" s="0" t="s">
        <v>164</v>
      </c>
      <c r="E59" s="0" t="s">
        <v>118</v>
      </c>
      <c r="F59" s="0" t="n">
        <v>0</v>
      </c>
      <c r="G59" s="0" t="s">
        <v>204</v>
      </c>
      <c r="H59" s="0" t="s">
        <v>205</v>
      </c>
      <c r="I59" s="0" t="s">
        <v>206</v>
      </c>
      <c r="J59" s="0" t="s">
        <v>207</v>
      </c>
      <c r="K59" s="0" t="n">
        <v>0.367</v>
      </c>
      <c r="L59" s="0" t="s">
        <v>148</v>
      </c>
      <c r="M59" s="0" t="n">
        <v>0</v>
      </c>
    </row>
    <row r="60" customFormat="false" ht="15" hidden="false" customHeight="false" outlineLevel="0" collapsed="false">
      <c r="A60" s="0" t="n">
        <v>10</v>
      </c>
      <c r="B60" s="0" t="s">
        <v>315</v>
      </c>
      <c r="C60" s="0" t="s">
        <v>316</v>
      </c>
      <c r="D60" s="0" t="s">
        <v>165</v>
      </c>
      <c r="E60" s="0" t="s">
        <v>107</v>
      </c>
      <c r="F60" s="0" t="n">
        <v>0</v>
      </c>
      <c r="G60" s="0" t="s">
        <v>204</v>
      </c>
      <c r="H60" s="0" t="s">
        <v>205</v>
      </c>
      <c r="I60" s="0" t="s">
        <v>206</v>
      </c>
      <c r="J60" s="0" t="s">
        <v>207</v>
      </c>
      <c r="K60" s="0" t="n">
        <v>0.634</v>
      </c>
      <c r="L60" s="0" t="s">
        <v>208</v>
      </c>
      <c r="M60" s="0" t="n">
        <v>1</v>
      </c>
    </row>
    <row r="61" customFormat="false" ht="15" hidden="false" customHeight="false" outlineLevel="0" collapsed="false">
      <c r="A61" s="0" t="n">
        <v>10</v>
      </c>
      <c r="B61" s="0" t="s">
        <v>317</v>
      </c>
      <c r="C61" s="0" t="s">
        <v>318</v>
      </c>
      <c r="D61" s="0" t="s">
        <v>165</v>
      </c>
      <c r="E61" s="0" t="s">
        <v>107</v>
      </c>
      <c r="F61" s="0" t="n">
        <v>0</v>
      </c>
      <c r="G61" s="0" t="s">
        <v>204</v>
      </c>
      <c r="H61" s="0" t="s">
        <v>205</v>
      </c>
      <c r="I61" s="0" t="s">
        <v>206</v>
      </c>
      <c r="J61" s="0" t="s">
        <v>207</v>
      </c>
      <c r="K61" s="0" t="n">
        <v>0.88</v>
      </c>
      <c r="L61" s="0" t="s">
        <v>208</v>
      </c>
      <c r="M61" s="0" t="n">
        <v>1</v>
      </c>
    </row>
    <row r="62" customFormat="false" ht="15" hidden="false" customHeight="false" outlineLevel="0" collapsed="false">
      <c r="A62" s="0" t="n">
        <v>10</v>
      </c>
      <c r="B62" s="0" t="s">
        <v>319</v>
      </c>
      <c r="C62" s="0" t="s">
        <v>320</v>
      </c>
      <c r="D62" s="0" t="s">
        <v>165</v>
      </c>
      <c r="E62" s="0" t="s">
        <v>107</v>
      </c>
      <c r="F62" s="0" t="n">
        <v>0</v>
      </c>
      <c r="G62" s="0" t="s">
        <v>204</v>
      </c>
      <c r="H62" s="0" t="s">
        <v>205</v>
      </c>
      <c r="I62" s="0" t="s">
        <v>206</v>
      </c>
      <c r="J62" s="0" t="s">
        <v>207</v>
      </c>
      <c r="K62" s="0" t="n">
        <v>0.513</v>
      </c>
      <c r="L62" s="0" t="s">
        <v>208</v>
      </c>
      <c r="M62" s="0" t="n">
        <v>1</v>
      </c>
    </row>
    <row r="63" customFormat="false" ht="15" hidden="false" customHeight="false" outlineLevel="0" collapsed="false">
      <c r="A63" s="0" t="n">
        <v>10</v>
      </c>
      <c r="B63" s="0" t="s">
        <v>319</v>
      </c>
      <c r="C63" s="0" t="s">
        <v>320</v>
      </c>
      <c r="D63" s="0" t="s">
        <v>165</v>
      </c>
      <c r="E63" s="0" t="s">
        <v>107</v>
      </c>
      <c r="F63" s="0" t="n">
        <v>1</v>
      </c>
      <c r="G63" s="0" t="s">
        <v>247</v>
      </c>
      <c r="H63" s="0" t="s">
        <v>205</v>
      </c>
      <c r="I63" s="0" t="s">
        <v>248</v>
      </c>
      <c r="J63" s="0" t="s">
        <v>207</v>
      </c>
      <c r="K63" s="0" t="n">
        <v>0.869</v>
      </c>
      <c r="L63" s="0" t="s">
        <v>148</v>
      </c>
      <c r="M63" s="0" t="n">
        <v>0</v>
      </c>
    </row>
    <row r="64" customFormat="false" ht="15" hidden="false" customHeight="false" outlineLevel="0" collapsed="false">
      <c r="A64" s="0" t="n">
        <v>10</v>
      </c>
      <c r="B64" s="0" t="s">
        <v>321</v>
      </c>
      <c r="C64" s="0" t="s">
        <v>322</v>
      </c>
      <c r="D64" s="0" t="s">
        <v>165</v>
      </c>
      <c r="E64" s="0" t="s">
        <v>107</v>
      </c>
      <c r="F64" s="0" t="n">
        <v>0</v>
      </c>
      <c r="G64" s="0" t="s">
        <v>204</v>
      </c>
      <c r="H64" s="0" t="s">
        <v>205</v>
      </c>
      <c r="I64" s="0" t="s">
        <v>206</v>
      </c>
      <c r="J64" s="0" t="s">
        <v>207</v>
      </c>
      <c r="K64" s="0" t="n">
        <v>0.587</v>
      </c>
      <c r="L64" s="0" t="s">
        <v>208</v>
      </c>
      <c r="M64" s="0" t="n">
        <v>1</v>
      </c>
    </row>
    <row r="65" customFormat="false" ht="15" hidden="false" customHeight="false" outlineLevel="0" collapsed="false">
      <c r="A65" s="0" t="n">
        <v>10</v>
      </c>
      <c r="B65" s="0" t="s">
        <v>323</v>
      </c>
      <c r="C65" s="0" t="s">
        <v>324</v>
      </c>
      <c r="D65" s="0" t="s">
        <v>165</v>
      </c>
      <c r="E65" s="0" t="s">
        <v>107</v>
      </c>
      <c r="F65" s="0" t="n">
        <v>0</v>
      </c>
      <c r="G65" s="0" t="s">
        <v>204</v>
      </c>
      <c r="H65" s="0" t="s">
        <v>205</v>
      </c>
      <c r="I65" s="0" t="s">
        <v>206</v>
      </c>
      <c r="J65" s="0" t="s">
        <v>207</v>
      </c>
      <c r="K65" s="0" t="n">
        <v>0.412</v>
      </c>
      <c r="L65" s="0" t="s">
        <v>148</v>
      </c>
      <c r="M65" s="0" t="n">
        <v>0</v>
      </c>
    </row>
    <row r="66" customFormat="false" ht="15" hidden="false" customHeight="false" outlineLevel="0" collapsed="false">
      <c r="A66" s="0" t="n">
        <v>10</v>
      </c>
      <c r="B66" s="0" t="s">
        <v>323</v>
      </c>
      <c r="C66" s="0" t="s">
        <v>324</v>
      </c>
      <c r="D66" s="0" t="s">
        <v>165</v>
      </c>
      <c r="E66" s="0" t="s">
        <v>107</v>
      </c>
      <c r="F66" s="0" t="n">
        <v>1</v>
      </c>
      <c r="G66" s="0" t="s">
        <v>247</v>
      </c>
      <c r="H66" s="0" t="s">
        <v>205</v>
      </c>
      <c r="I66" s="0" t="s">
        <v>248</v>
      </c>
      <c r="J66" s="0" t="s">
        <v>207</v>
      </c>
      <c r="K66" s="0" t="n">
        <v>0.768</v>
      </c>
      <c r="L66" s="0" t="s">
        <v>208</v>
      </c>
      <c r="M66" s="0" t="n">
        <v>1</v>
      </c>
    </row>
    <row r="67" customFormat="false" ht="15" hidden="false" customHeight="false" outlineLevel="0" collapsed="false">
      <c r="A67" s="0" t="n">
        <v>10</v>
      </c>
      <c r="B67" s="0" t="s">
        <v>325</v>
      </c>
      <c r="C67" s="0" t="s">
        <v>326</v>
      </c>
      <c r="D67" s="0" t="s">
        <v>165</v>
      </c>
      <c r="E67" s="0" t="s">
        <v>107</v>
      </c>
      <c r="F67" s="0" t="n">
        <v>0</v>
      </c>
      <c r="G67" s="0" t="s">
        <v>204</v>
      </c>
      <c r="H67" s="0" t="s">
        <v>205</v>
      </c>
      <c r="I67" s="0" t="s">
        <v>206</v>
      </c>
      <c r="J67" s="0" t="s">
        <v>207</v>
      </c>
      <c r="K67" s="0" t="n">
        <v>0.835</v>
      </c>
      <c r="L67" s="0" t="s">
        <v>147</v>
      </c>
      <c r="M67" s="0" t="n">
        <v>0</v>
      </c>
    </row>
    <row r="68" customFormat="false" ht="15" hidden="false" customHeight="false" outlineLevel="0" collapsed="false">
      <c r="A68" s="0" t="n">
        <v>10</v>
      </c>
      <c r="B68" s="0" t="s">
        <v>327</v>
      </c>
      <c r="C68" s="0" t="s">
        <v>328</v>
      </c>
      <c r="D68" s="0" t="s">
        <v>165</v>
      </c>
      <c r="E68" s="0" t="s">
        <v>107</v>
      </c>
      <c r="F68" s="0" t="n">
        <v>0</v>
      </c>
      <c r="G68" s="0" t="s">
        <v>204</v>
      </c>
      <c r="H68" s="0" t="s">
        <v>205</v>
      </c>
      <c r="I68" s="0" t="s">
        <v>206</v>
      </c>
      <c r="J68" s="0" t="s">
        <v>207</v>
      </c>
      <c r="K68" s="0" t="n">
        <v>0.777</v>
      </c>
      <c r="L68" s="0" t="s">
        <v>148</v>
      </c>
      <c r="M68" s="0" t="n">
        <v>0</v>
      </c>
    </row>
    <row r="69" customFormat="false" ht="15" hidden="false" customHeight="false" outlineLevel="0" collapsed="false">
      <c r="A69" s="0" t="n">
        <v>10</v>
      </c>
      <c r="B69" s="0" t="s">
        <v>329</v>
      </c>
      <c r="C69" s="0" t="s">
        <v>330</v>
      </c>
      <c r="D69" s="0" t="s">
        <v>165</v>
      </c>
      <c r="E69" s="0" t="s">
        <v>107</v>
      </c>
      <c r="F69" s="0" t="n">
        <v>0</v>
      </c>
      <c r="G69" s="0" t="s">
        <v>204</v>
      </c>
      <c r="H69" s="0" t="s">
        <v>205</v>
      </c>
      <c r="I69" s="0" t="s">
        <v>206</v>
      </c>
      <c r="J69" s="0" t="s">
        <v>207</v>
      </c>
      <c r="K69" s="0" t="n">
        <v>0.372</v>
      </c>
      <c r="L69" s="0" t="s">
        <v>208</v>
      </c>
      <c r="M69" s="0" t="n">
        <v>1</v>
      </c>
    </row>
    <row r="70" customFormat="false" ht="15" hidden="false" customHeight="false" outlineLevel="0" collapsed="false">
      <c r="A70" s="0" t="n">
        <v>10</v>
      </c>
      <c r="B70" s="0" t="s">
        <v>331</v>
      </c>
      <c r="C70" s="0" t="s">
        <v>332</v>
      </c>
      <c r="D70" s="0" t="s">
        <v>166</v>
      </c>
      <c r="E70" s="0" t="s">
        <v>107</v>
      </c>
      <c r="F70" s="0" t="n">
        <v>0</v>
      </c>
      <c r="G70" s="0" t="s">
        <v>204</v>
      </c>
      <c r="H70" s="0" t="s">
        <v>205</v>
      </c>
      <c r="I70" s="0" t="s">
        <v>206</v>
      </c>
      <c r="J70" s="0" t="s">
        <v>207</v>
      </c>
      <c r="K70" s="0" t="n">
        <v>0.571</v>
      </c>
      <c r="L70" s="0" t="s">
        <v>148</v>
      </c>
      <c r="M70" s="0" t="n">
        <v>0</v>
      </c>
    </row>
    <row r="71" customFormat="false" ht="15" hidden="false" customHeight="false" outlineLevel="0" collapsed="false">
      <c r="A71" s="0" t="n">
        <v>10</v>
      </c>
      <c r="B71" s="0" t="s">
        <v>333</v>
      </c>
      <c r="C71" s="0" t="s">
        <v>334</v>
      </c>
      <c r="D71" s="0" t="s">
        <v>166</v>
      </c>
      <c r="E71" s="0" t="s">
        <v>107</v>
      </c>
      <c r="F71" s="0" t="n">
        <v>0</v>
      </c>
      <c r="G71" s="0" t="s">
        <v>204</v>
      </c>
      <c r="H71" s="0" t="s">
        <v>205</v>
      </c>
      <c r="I71" s="0" t="s">
        <v>206</v>
      </c>
      <c r="J71" s="0" t="s">
        <v>207</v>
      </c>
      <c r="K71" s="0" t="n">
        <v>0.855</v>
      </c>
      <c r="L71" s="0" t="s">
        <v>147</v>
      </c>
      <c r="M71" s="0" t="n">
        <v>0</v>
      </c>
    </row>
    <row r="72" customFormat="false" ht="15" hidden="false" customHeight="false" outlineLevel="0" collapsed="false">
      <c r="A72" s="0" t="n">
        <v>10</v>
      </c>
      <c r="B72" s="0" t="s">
        <v>335</v>
      </c>
      <c r="C72" s="0" t="s">
        <v>336</v>
      </c>
      <c r="D72" s="0" t="s">
        <v>166</v>
      </c>
      <c r="E72" s="0" t="s">
        <v>107</v>
      </c>
      <c r="F72" s="0" t="n">
        <v>0</v>
      </c>
      <c r="G72" s="0" t="s">
        <v>204</v>
      </c>
      <c r="H72" s="0" t="s">
        <v>205</v>
      </c>
      <c r="I72" s="0" t="s">
        <v>206</v>
      </c>
      <c r="J72" s="0" t="s">
        <v>207</v>
      </c>
      <c r="K72" s="0" t="n">
        <v>0.299</v>
      </c>
      <c r="L72" s="0" t="s">
        <v>208</v>
      </c>
      <c r="M72" s="0" t="n">
        <v>1</v>
      </c>
    </row>
    <row r="73" customFormat="false" ht="15" hidden="false" customHeight="false" outlineLevel="0" collapsed="false">
      <c r="A73" s="0" t="n">
        <v>10</v>
      </c>
      <c r="B73" s="0" t="s">
        <v>337</v>
      </c>
      <c r="C73" s="0" t="s">
        <v>338</v>
      </c>
      <c r="D73" s="0" t="s">
        <v>166</v>
      </c>
      <c r="E73" s="0" t="s">
        <v>107</v>
      </c>
      <c r="F73" s="0" t="n">
        <v>0</v>
      </c>
      <c r="G73" s="0" t="s">
        <v>204</v>
      </c>
      <c r="H73" s="0" t="s">
        <v>205</v>
      </c>
      <c r="I73" s="0" t="s">
        <v>206</v>
      </c>
      <c r="J73" s="0" t="s">
        <v>207</v>
      </c>
      <c r="K73" s="0" t="n">
        <v>0.818</v>
      </c>
      <c r="L73" s="0" t="s">
        <v>147</v>
      </c>
      <c r="M73" s="0" t="n">
        <v>0</v>
      </c>
    </row>
    <row r="74" customFormat="false" ht="15" hidden="false" customHeight="false" outlineLevel="0" collapsed="false">
      <c r="A74" s="0" t="n">
        <v>10</v>
      </c>
      <c r="B74" s="0" t="s">
        <v>339</v>
      </c>
      <c r="C74" s="0" t="s">
        <v>340</v>
      </c>
      <c r="D74" s="0" t="s">
        <v>166</v>
      </c>
      <c r="E74" s="0" t="s">
        <v>107</v>
      </c>
      <c r="F74" s="0" t="n">
        <v>0</v>
      </c>
      <c r="G74" s="0" t="s">
        <v>204</v>
      </c>
      <c r="H74" s="0" t="s">
        <v>205</v>
      </c>
      <c r="I74" s="0" t="s">
        <v>206</v>
      </c>
      <c r="J74" s="0" t="s">
        <v>207</v>
      </c>
      <c r="K74" s="0" t="n">
        <v>0.699</v>
      </c>
      <c r="L74" s="0" t="s">
        <v>208</v>
      </c>
      <c r="M74" s="0" t="n">
        <v>1</v>
      </c>
    </row>
    <row r="75" customFormat="false" ht="15" hidden="false" customHeight="false" outlineLevel="0" collapsed="false">
      <c r="A75" s="0" t="n">
        <v>10</v>
      </c>
      <c r="B75" s="0" t="s">
        <v>341</v>
      </c>
      <c r="C75" s="0" t="s">
        <v>342</v>
      </c>
      <c r="D75" s="0" t="s">
        <v>167</v>
      </c>
      <c r="E75" s="0" t="s">
        <v>107</v>
      </c>
      <c r="F75" s="0" t="n">
        <v>0</v>
      </c>
      <c r="G75" s="0" t="s">
        <v>204</v>
      </c>
      <c r="H75" s="0" t="s">
        <v>205</v>
      </c>
      <c r="I75" s="0" t="s">
        <v>206</v>
      </c>
      <c r="J75" s="0" t="s">
        <v>207</v>
      </c>
      <c r="K75" s="0" t="n">
        <v>0.617</v>
      </c>
      <c r="L75" s="0" t="s">
        <v>208</v>
      </c>
      <c r="M75" s="0" t="n">
        <v>1</v>
      </c>
    </row>
    <row r="76" customFormat="false" ht="15" hidden="false" customHeight="false" outlineLevel="0" collapsed="false">
      <c r="A76" s="0" t="n">
        <v>10</v>
      </c>
      <c r="B76" s="0" t="s">
        <v>341</v>
      </c>
      <c r="C76" s="0" t="s">
        <v>342</v>
      </c>
      <c r="D76" s="0" t="s">
        <v>167</v>
      </c>
      <c r="E76" s="0" t="s">
        <v>107</v>
      </c>
      <c r="F76" s="0" t="n">
        <v>1</v>
      </c>
      <c r="G76" s="0" t="s">
        <v>247</v>
      </c>
      <c r="H76" s="0" t="s">
        <v>205</v>
      </c>
      <c r="I76" s="0" t="s">
        <v>248</v>
      </c>
      <c r="J76" s="0" t="s">
        <v>207</v>
      </c>
      <c r="K76" s="0" t="n">
        <v>0.334</v>
      </c>
      <c r="L76" s="0" t="s">
        <v>148</v>
      </c>
      <c r="M76" s="0" t="n">
        <v>0</v>
      </c>
    </row>
    <row r="77" customFormat="false" ht="15" hidden="false" customHeight="false" outlineLevel="0" collapsed="false">
      <c r="A77" s="0" t="n">
        <v>10</v>
      </c>
      <c r="B77" s="0" t="s">
        <v>343</v>
      </c>
      <c r="C77" s="0" t="s">
        <v>344</v>
      </c>
      <c r="D77" s="0" t="s">
        <v>167</v>
      </c>
      <c r="E77" s="0" t="s">
        <v>107</v>
      </c>
      <c r="F77" s="0" t="n">
        <v>0</v>
      </c>
      <c r="G77" s="0" t="s">
        <v>204</v>
      </c>
      <c r="H77" s="0" t="s">
        <v>205</v>
      </c>
      <c r="I77" s="0" t="s">
        <v>206</v>
      </c>
      <c r="J77" s="0" t="s">
        <v>207</v>
      </c>
      <c r="K77" s="0" t="n">
        <v>0.583</v>
      </c>
      <c r="L77" s="0" t="s">
        <v>148</v>
      </c>
      <c r="M77" s="0" t="n">
        <v>0</v>
      </c>
    </row>
    <row r="78" customFormat="false" ht="15" hidden="false" customHeight="false" outlineLevel="0" collapsed="false">
      <c r="A78" s="0" t="n">
        <v>10</v>
      </c>
      <c r="B78" s="0" t="s">
        <v>343</v>
      </c>
      <c r="C78" s="0" t="s">
        <v>344</v>
      </c>
      <c r="D78" s="0" t="s">
        <v>167</v>
      </c>
      <c r="E78" s="0" t="s">
        <v>107</v>
      </c>
      <c r="F78" s="0" t="n">
        <v>1</v>
      </c>
      <c r="G78" s="0" t="s">
        <v>247</v>
      </c>
      <c r="H78" s="0" t="s">
        <v>205</v>
      </c>
      <c r="I78" s="0" t="s">
        <v>248</v>
      </c>
      <c r="J78" s="0" t="s">
        <v>207</v>
      </c>
      <c r="K78" s="0" t="n">
        <v>0.881</v>
      </c>
      <c r="L78" s="0" t="s">
        <v>148</v>
      </c>
      <c r="M78" s="0" t="n">
        <v>0</v>
      </c>
    </row>
    <row r="79" customFormat="false" ht="15" hidden="false" customHeight="false" outlineLevel="0" collapsed="false">
      <c r="A79" s="0" t="n">
        <v>10</v>
      </c>
      <c r="B79" s="0" t="s">
        <v>345</v>
      </c>
      <c r="C79" s="0" t="s">
        <v>346</v>
      </c>
      <c r="D79" s="0" t="s">
        <v>167</v>
      </c>
      <c r="E79" s="0" t="s">
        <v>107</v>
      </c>
      <c r="F79" s="0" t="n">
        <v>0</v>
      </c>
      <c r="G79" s="0" t="s">
        <v>204</v>
      </c>
      <c r="H79" s="0" t="s">
        <v>205</v>
      </c>
      <c r="I79" s="0" t="s">
        <v>206</v>
      </c>
      <c r="J79" s="0" t="s">
        <v>207</v>
      </c>
      <c r="K79" s="0" t="n">
        <v>0.489</v>
      </c>
      <c r="L79" s="0" t="s">
        <v>148</v>
      </c>
      <c r="M79" s="0" t="n">
        <v>0</v>
      </c>
    </row>
    <row r="80" customFormat="false" ht="15" hidden="false" customHeight="false" outlineLevel="0" collapsed="false">
      <c r="A80" s="0" t="n">
        <v>10</v>
      </c>
      <c r="B80" s="0" t="s">
        <v>345</v>
      </c>
      <c r="C80" s="0" t="s">
        <v>346</v>
      </c>
      <c r="D80" s="0" t="s">
        <v>167</v>
      </c>
      <c r="E80" s="0" t="s">
        <v>107</v>
      </c>
      <c r="F80" s="0" t="n">
        <v>1</v>
      </c>
      <c r="G80" s="0" t="s">
        <v>247</v>
      </c>
      <c r="H80" s="0" t="s">
        <v>205</v>
      </c>
      <c r="I80" s="0" t="s">
        <v>248</v>
      </c>
      <c r="J80" s="0" t="s">
        <v>207</v>
      </c>
      <c r="K80" s="0" t="n">
        <v>0.633</v>
      </c>
      <c r="L80" s="0" t="s">
        <v>208</v>
      </c>
      <c r="M80" s="0" t="n">
        <v>1</v>
      </c>
    </row>
    <row r="81" customFormat="false" ht="15" hidden="false" customHeight="false" outlineLevel="0" collapsed="false">
      <c r="A81" s="0" t="n">
        <v>10</v>
      </c>
      <c r="B81" s="0" t="s">
        <v>347</v>
      </c>
      <c r="C81" s="0" t="s">
        <v>348</v>
      </c>
      <c r="D81" s="0" t="s">
        <v>168</v>
      </c>
      <c r="E81" s="0" t="s">
        <v>107</v>
      </c>
      <c r="F81" s="0" t="n">
        <v>0</v>
      </c>
      <c r="G81" s="0" t="s">
        <v>204</v>
      </c>
      <c r="H81" s="0" t="s">
        <v>205</v>
      </c>
      <c r="I81" s="0" t="s">
        <v>206</v>
      </c>
      <c r="J81" s="0" t="s">
        <v>207</v>
      </c>
      <c r="K81" s="0" t="n">
        <v>0.852</v>
      </c>
      <c r="L81" s="0" t="s">
        <v>148</v>
      </c>
      <c r="M81" s="0" t="n">
        <v>0</v>
      </c>
    </row>
    <row r="82" customFormat="false" ht="15" hidden="false" customHeight="false" outlineLevel="0" collapsed="false">
      <c r="A82" s="0" t="n">
        <v>10</v>
      </c>
      <c r="B82" s="0" t="s">
        <v>349</v>
      </c>
      <c r="C82" s="0" t="s">
        <v>350</v>
      </c>
      <c r="D82" s="0" t="s">
        <v>168</v>
      </c>
      <c r="E82" s="0" t="s">
        <v>107</v>
      </c>
      <c r="F82" s="0" t="n">
        <v>0</v>
      </c>
      <c r="G82" s="0" t="s">
        <v>204</v>
      </c>
      <c r="H82" s="0" t="s">
        <v>205</v>
      </c>
      <c r="I82" s="0" t="s">
        <v>206</v>
      </c>
      <c r="J82" s="0" t="s">
        <v>207</v>
      </c>
      <c r="K82" s="0" t="n">
        <v>0.784</v>
      </c>
      <c r="L82" s="0" t="s">
        <v>148</v>
      </c>
      <c r="M82" s="0" t="n">
        <v>0</v>
      </c>
    </row>
    <row r="83" customFormat="false" ht="15" hidden="false" customHeight="false" outlineLevel="0" collapsed="false">
      <c r="A83" s="0" t="n">
        <v>10</v>
      </c>
      <c r="B83" s="0" t="s">
        <v>349</v>
      </c>
      <c r="C83" s="0" t="s">
        <v>350</v>
      </c>
      <c r="D83" s="0" t="s">
        <v>168</v>
      </c>
      <c r="E83" s="0" t="s">
        <v>107</v>
      </c>
      <c r="F83" s="0" t="n">
        <v>1</v>
      </c>
      <c r="G83" s="0" t="s">
        <v>247</v>
      </c>
      <c r="H83" s="0" t="s">
        <v>205</v>
      </c>
      <c r="I83" s="0" t="s">
        <v>248</v>
      </c>
      <c r="J83" s="0" t="s">
        <v>207</v>
      </c>
      <c r="K83" s="0" t="n">
        <v>0.305</v>
      </c>
      <c r="L83" s="0" t="s">
        <v>208</v>
      </c>
      <c r="M83" s="0" t="n">
        <v>1</v>
      </c>
    </row>
    <row r="84" customFormat="false" ht="15" hidden="false" customHeight="false" outlineLevel="0" collapsed="false">
      <c r="A84" s="0" t="n">
        <v>10</v>
      </c>
      <c r="B84" s="0" t="s">
        <v>351</v>
      </c>
      <c r="C84" s="0" t="s">
        <v>352</v>
      </c>
      <c r="D84" s="0" t="s">
        <v>168</v>
      </c>
      <c r="E84" s="0" t="s">
        <v>107</v>
      </c>
      <c r="F84" s="0" t="n">
        <v>0</v>
      </c>
      <c r="G84" s="0" t="s">
        <v>204</v>
      </c>
      <c r="H84" s="0" t="s">
        <v>205</v>
      </c>
      <c r="I84" s="0" t="s">
        <v>206</v>
      </c>
      <c r="J84" s="0" t="s">
        <v>207</v>
      </c>
      <c r="K84" s="0" t="n">
        <v>0.497</v>
      </c>
      <c r="L84" s="0" t="s">
        <v>208</v>
      </c>
      <c r="M84" s="0" t="n">
        <v>1</v>
      </c>
    </row>
    <row r="85" customFormat="false" ht="15" hidden="false" customHeight="false" outlineLevel="0" collapsed="false">
      <c r="A85" s="0" t="n">
        <v>10</v>
      </c>
      <c r="B85" s="0" t="s">
        <v>353</v>
      </c>
      <c r="C85" s="0" t="s">
        <v>354</v>
      </c>
      <c r="D85" s="0" t="s">
        <v>168</v>
      </c>
      <c r="E85" s="0" t="s">
        <v>107</v>
      </c>
      <c r="F85" s="0" t="n">
        <v>0</v>
      </c>
      <c r="G85" s="0" t="s">
        <v>204</v>
      </c>
      <c r="H85" s="0" t="s">
        <v>205</v>
      </c>
      <c r="I85" s="0" t="s">
        <v>206</v>
      </c>
      <c r="J85" s="0" t="s">
        <v>207</v>
      </c>
      <c r="K85" s="0" t="n">
        <v>0.632</v>
      </c>
      <c r="L85" s="0" t="s">
        <v>208</v>
      </c>
      <c r="M85" s="0" t="n">
        <v>1</v>
      </c>
    </row>
    <row r="86" customFormat="false" ht="15" hidden="false" customHeight="false" outlineLevel="0" collapsed="false">
      <c r="A86" s="0" t="n">
        <v>10</v>
      </c>
      <c r="B86" s="0" t="s">
        <v>353</v>
      </c>
      <c r="C86" s="0" t="s">
        <v>354</v>
      </c>
      <c r="D86" s="0" t="s">
        <v>168</v>
      </c>
      <c r="E86" s="0" t="s">
        <v>107</v>
      </c>
      <c r="F86" s="0" t="n">
        <v>1</v>
      </c>
      <c r="G86" s="0" t="s">
        <v>247</v>
      </c>
      <c r="H86" s="0" t="s">
        <v>205</v>
      </c>
      <c r="I86" s="0" t="s">
        <v>248</v>
      </c>
      <c r="J86" s="0" t="s">
        <v>207</v>
      </c>
      <c r="K86" s="0" t="n">
        <v>0.608</v>
      </c>
      <c r="L86" s="0" t="s">
        <v>148</v>
      </c>
      <c r="M86" s="0" t="n">
        <v>0</v>
      </c>
    </row>
    <row r="87" customFormat="false" ht="15" hidden="false" customHeight="false" outlineLevel="0" collapsed="false">
      <c r="A87" s="0" t="n">
        <v>10</v>
      </c>
      <c r="B87" s="0" t="s">
        <v>355</v>
      </c>
      <c r="C87" s="0" t="s">
        <v>356</v>
      </c>
      <c r="D87" s="0" t="s">
        <v>168</v>
      </c>
      <c r="E87" s="0" t="s">
        <v>107</v>
      </c>
      <c r="F87" s="0" t="n">
        <v>0</v>
      </c>
      <c r="G87" s="0" t="s">
        <v>204</v>
      </c>
      <c r="H87" s="0" t="s">
        <v>205</v>
      </c>
      <c r="I87" s="0" t="s">
        <v>206</v>
      </c>
      <c r="J87" s="0" t="s">
        <v>207</v>
      </c>
      <c r="K87" s="0" t="n">
        <v>0.674</v>
      </c>
      <c r="L87" s="0" t="s">
        <v>208</v>
      </c>
      <c r="M87" s="0" t="n">
        <v>1</v>
      </c>
    </row>
    <row r="88" customFormat="false" ht="15" hidden="false" customHeight="false" outlineLevel="0" collapsed="false">
      <c r="A88" s="0" t="n">
        <v>10</v>
      </c>
      <c r="B88" s="0" t="s">
        <v>357</v>
      </c>
      <c r="C88" s="0" t="s">
        <v>358</v>
      </c>
      <c r="D88" s="0" t="s">
        <v>169</v>
      </c>
      <c r="E88" s="0" t="s">
        <v>107</v>
      </c>
      <c r="F88" s="0" t="n">
        <v>0</v>
      </c>
      <c r="G88" s="0" t="s">
        <v>204</v>
      </c>
      <c r="H88" s="0" t="s">
        <v>205</v>
      </c>
      <c r="I88" s="0" t="s">
        <v>206</v>
      </c>
      <c r="J88" s="0" t="s">
        <v>207</v>
      </c>
      <c r="K88" s="0" t="n">
        <v>0.397</v>
      </c>
      <c r="L88" s="0" t="s">
        <v>148</v>
      </c>
      <c r="M88" s="0" t="n">
        <v>0</v>
      </c>
    </row>
    <row r="89" customFormat="false" ht="15" hidden="false" customHeight="false" outlineLevel="0" collapsed="false">
      <c r="A89" s="0" t="n">
        <v>10</v>
      </c>
      <c r="B89" s="0" t="s">
        <v>359</v>
      </c>
      <c r="C89" s="0" t="s">
        <v>360</v>
      </c>
      <c r="D89" s="0" t="s">
        <v>169</v>
      </c>
      <c r="E89" s="0" t="s">
        <v>107</v>
      </c>
      <c r="F89" s="0" t="n">
        <v>0</v>
      </c>
      <c r="G89" s="0" t="s">
        <v>204</v>
      </c>
      <c r="H89" s="0" t="s">
        <v>205</v>
      </c>
      <c r="I89" s="0" t="s">
        <v>206</v>
      </c>
      <c r="J89" s="0" t="s">
        <v>207</v>
      </c>
      <c r="K89" s="0" t="n">
        <v>0.389</v>
      </c>
      <c r="L89" s="0" t="s">
        <v>147</v>
      </c>
      <c r="M89" s="0" t="n">
        <v>0</v>
      </c>
    </row>
    <row r="90" customFormat="false" ht="15" hidden="false" customHeight="false" outlineLevel="0" collapsed="false">
      <c r="A90" s="0" t="n">
        <v>10</v>
      </c>
      <c r="B90" s="0" t="s">
        <v>361</v>
      </c>
      <c r="C90" s="0" t="s">
        <v>362</v>
      </c>
      <c r="D90" s="0" t="s">
        <v>169</v>
      </c>
      <c r="E90" s="0" t="s">
        <v>107</v>
      </c>
      <c r="F90" s="0" t="n">
        <v>0</v>
      </c>
      <c r="G90" s="0" t="s">
        <v>204</v>
      </c>
      <c r="H90" s="0" t="s">
        <v>205</v>
      </c>
      <c r="I90" s="0" t="s">
        <v>206</v>
      </c>
      <c r="J90" s="0" t="s">
        <v>207</v>
      </c>
      <c r="K90" s="0" t="n">
        <v>0.856</v>
      </c>
      <c r="L90" s="0" t="s">
        <v>148</v>
      </c>
      <c r="M90" s="0" t="n">
        <v>0</v>
      </c>
    </row>
    <row r="91" customFormat="false" ht="15" hidden="false" customHeight="false" outlineLevel="0" collapsed="false">
      <c r="A91" s="0" t="n">
        <v>10</v>
      </c>
      <c r="B91" s="0" t="s">
        <v>363</v>
      </c>
      <c r="C91" s="0" t="s">
        <v>364</v>
      </c>
      <c r="D91" s="0" t="s">
        <v>169</v>
      </c>
      <c r="E91" s="0" t="s">
        <v>107</v>
      </c>
      <c r="F91" s="0" t="n">
        <v>0</v>
      </c>
      <c r="G91" s="0" t="s">
        <v>204</v>
      </c>
      <c r="H91" s="0" t="s">
        <v>205</v>
      </c>
      <c r="I91" s="0" t="s">
        <v>206</v>
      </c>
      <c r="J91" s="0" t="s">
        <v>207</v>
      </c>
      <c r="K91" s="0" t="n">
        <v>0.415</v>
      </c>
      <c r="L91" s="0" t="s">
        <v>208</v>
      </c>
      <c r="M91" s="0" t="n">
        <v>1</v>
      </c>
    </row>
    <row r="92" customFormat="false" ht="15" hidden="false" customHeight="false" outlineLevel="0" collapsed="false">
      <c r="A92" s="0" t="n">
        <v>10</v>
      </c>
      <c r="B92" s="0" t="s">
        <v>365</v>
      </c>
      <c r="C92" s="0" t="s">
        <v>366</v>
      </c>
      <c r="D92" s="0" t="s">
        <v>169</v>
      </c>
      <c r="E92" s="0" t="s">
        <v>107</v>
      </c>
      <c r="F92" s="0" t="n">
        <v>0</v>
      </c>
      <c r="G92" s="0" t="s">
        <v>204</v>
      </c>
      <c r="H92" s="0" t="s">
        <v>205</v>
      </c>
      <c r="I92" s="0" t="s">
        <v>206</v>
      </c>
      <c r="J92" s="0" t="s">
        <v>207</v>
      </c>
      <c r="K92" s="0" t="n">
        <v>0.591</v>
      </c>
      <c r="L92" s="0" t="s">
        <v>208</v>
      </c>
      <c r="M92" s="0" t="n">
        <v>1</v>
      </c>
    </row>
    <row r="93" customFormat="false" ht="15" hidden="false" customHeight="false" outlineLevel="0" collapsed="false">
      <c r="A93" s="0" t="n">
        <v>10</v>
      </c>
      <c r="B93" s="0" t="s">
        <v>367</v>
      </c>
      <c r="C93" s="0" t="s">
        <v>368</v>
      </c>
      <c r="D93" s="0" t="s">
        <v>170</v>
      </c>
      <c r="E93" s="0" t="s">
        <v>107</v>
      </c>
      <c r="F93" s="0" t="n">
        <v>0</v>
      </c>
      <c r="G93" s="0" t="s">
        <v>204</v>
      </c>
      <c r="H93" s="0" t="s">
        <v>205</v>
      </c>
      <c r="I93" s="0" t="s">
        <v>206</v>
      </c>
      <c r="J93" s="0" t="s">
        <v>207</v>
      </c>
      <c r="K93" s="0" t="n">
        <v>0.547</v>
      </c>
      <c r="L93" s="0" t="s">
        <v>147</v>
      </c>
      <c r="M93" s="0" t="n">
        <v>0</v>
      </c>
    </row>
    <row r="94" customFormat="false" ht="15" hidden="false" customHeight="false" outlineLevel="0" collapsed="false">
      <c r="A94" s="0" t="n">
        <v>10</v>
      </c>
      <c r="B94" s="0" t="s">
        <v>369</v>
      </c>
      <c r="C94" s="0" t="s">
        <v>370</v>
      </c>
      <c r="D94" s="0" t="s">
        <v>171</v>
      </c>
      <c r="E94" s="0" t="s">
        <v>107</v>
      </c>
      <c r="F94" s="0" t="n">
        <v>0</v>
      </c>
      <c r="G94" s="0" t="s">
        <v>204</v>
      </c>
      <c r="H94" s="0" t="s">
        <v>205</v>
      </c>
      <c r="I94" s="0" t="s">
        <v>206</v>
      </c>
      <c r="J94" s="0" t="s">
        <v>207</v>
      </c>
      <c r="K94" s="0" t="n">
        <v>0.282</v>
      </c>
      <c r="L94" s="0" t="s">
        <v>148</v>
      </c>
      <c r="M94" s="0" t="n">
        <v>0</v>
      </c>
    </row>
    <row r="95" customFormat="false" ht="15" hidden="false" customHeight="false" outlineLevel="0" collapsed="false">
      <c r="A95" s="0" t="n">
        <v>10</v>
      </c>
      <c r="B95" s="0" t="s">
        <v>369</v>
      </c>
      <c r="C95" s="0" t="s">
        <v>370</v>
      </c>
      <c r="D95" s="0" t="s">
        <v>171</v>
      </c>
      <c r="E95" s="0" t="s">
        <v>107</v>
      </c>
      <c r="F95" s="0" t="n">
        <v>1</v>
      </c>
      <c r="G95" s="0" t="s">
        <v>247</v>
      </c>
      <c r="H95" s="0" t="s">
        <v>205</v>
      </c>
      <c r="I95" s="0" t="s">
        <v>248</v>
      </c>
      <c r="J95" s="0" t="s">
        <v>207</v>
      </c>
      <c r="K95" s="0" t="n">
        <v>0.53</v>
      </c>
      <c r="L95" s="0" t="s">
        <v>147</v>
      </c>
      <c r="M95" s="0" t="n">
        <v>0</v>
      </c>
    </row>
    <row r="96" customFormat="false" ht="15" hidden="false" customHeight="false" outlineLevel="0" collapsed="false">
      <c r="A96" s="0" t="n">
        <v>10</v>
      </c>
      <c r="B96" s="0" t="s">
        <v>371</v>
      </c>
      <c r="C96" s="0" t="s">
        <v>372</v>
      </c>
      <c r="D96" s="0" t="s">
        <v>171</v>
      </c>
      <c r="E96" s="0" t="s">
        <v>107</v>
      </c>
      <c r="F96" s="0" t="n">
        <v>0</v>
      </c>
      <c r="G96" s="0" t="s">
        <v>204</v>
      </c>
      <c r="H96" s="0" t="s">
        <v>205</v>
      </c>
      <c r="I96" s="0" t="s">
        <v>206</v>
      </c>
      <c r="J96" s="0" t="s">
        <v>207</v>
      </c>
      <c r="K96" s="0" t="n">
        <v>0.643</v>
      </c>
      <c r="L96" s="0" t="s">
        <v>148</v>
      </c>
      <c r="M96" s="0" t="n">
        <v>0</v>
      </c>
    </row>
    <row r="97" customFormat="false" ht="15" hidden="false" customHeight="false" outlineLevel="0" collapsed="false">
      <c r="A97" s="0" t="n">
        <v>10</v>
      </c>
      <c r="B97" s="0" t="s">
        <v>373</v>
      </c>
      <c r="C97" s="0" t="s">
        <v>374</v>
      </c>
      <c r="D97" s="0" t="s">
        <v>171</v>
      </c>
      <c r="E97" s="0" t="s">
        <v>107</v>
      </c>
      <c r="F97" s="0" t="n">
        <v>0</v>
      </c>
      <c r="G97" s="0" t="s">
        <v>204</v>
      </c>
      <c r="H97" s="0" t="s">
        <v>205</v>
      </c>
      <c r="I97" s="0" t="s">
        <v>206</v>
      </c>
      <c r="J97" s="0" t="s">
        <v>207</v>
      </c>
      <c r="K97" s="0" t="n">
        <v>0.424</v>
      </c>
      <c r="L97" s="0" t="s">
        <v>208</v>
      </c>
      <c r="M97" s="0" t="n">
        <v>1</v>
      </c>
    </row>
    <row r="98" customFormat="false" ht="15" hidden="false" customHeight="false" outlineLevel="0" collapsed="false">
      <c r="A98" s="0" t="n">
        <v>10</v>
      </c>
      <c r="B98" s="0" t="s">
        <v>375</v>
      </c>
      <c r="C98" s="0" t="s">
        <v>376</v>
      </c>
      <c r="D98" s="0" t="s">
        <v>172</v>
      </c>
      <c r="E98" s="0" t="s">
        <v>107</v>
      </c>
      <c r="F98" s="0" t="n">
        <v>0</v>
      </c>
      <c r="G98" s="0" t="s">
        <v>204</v>
      </c>
      <c r="H98" s="0" t="s">
        <v>205</v>
      </c>
      <c r="I98" s="0" t="s">
        <v>206</v>
      </c>
      <c r="J98" s="0" t="s">
        <v>207</v>
      </c>
      <c r="K98" s="0" t="n">
        <v>0.309</v>
      </c>
      <c r="L98" s="0" t="s">
        <v>208</v>
      </c>
      <c r="M98" s="0" t="n">
        <v>1</v>
      </c>
    </row>
    <row r="99" customFormat="false" ht="15" hidden="false" customHeight="false" outlineLevel="0" collapsed="false">
      <c r="A99" s="0" t="n">
        <v>10</v>
      </c>
      <c r="B99" s="0" t="s">
        <v>377</v>
      </c>
      <c r="C99" s="0" t="s">
        <v>378</v>
      </c>
      <c r="D99" s="0" t="s">
        <v>172</v>
      </c>
      <c r="E99" s="0" t="s">
        <v>107</v>
      </c>
      <c r="F99" s="0" t="n">
        <v>0</v>
      </c>
      <c r="G99" s="0" t="s">
        <v>204</v>
      </c>
      <c r="H99" s="0" t="s">
        <v>205</v>
      </c>
      <c r="I99" s="0" t="s">
        <v>206</v>
      </c>
      <c r="J99" s="0" t="s">
        <v>207</v>
      </c>
      <c r="K99" s="0" t="n">
        <v>0.882</v>
      </c>
      <c r="L99" s="0" t="s">
        <v>147</v>
      </c>
      <c r="M99" s="0" t="n">
        <v>0</v>
      </c>
    </row>
    <row r="100" customFormat="false" ht="15" hidden="false" customHeight="false" outlineLevel="0" collapsed="false">
      <c r="A100" s="0" t="n">
        <v>10</v>
      </c>
      <c r="B100" s="0" t="s">
        <v>379</v>
      </c>
      <c r="C100" s="0" t="s">
        <v>380</v>
      </c>
      <c r="D100" s="0" t="s">
        <v>172</v>
      </c>
      <c r="E100" s="0" t="s">
        <v>107</v>
      </c>
      <c r="F100" s="0" t="n">
        <v>0</v>
      </c>
      <c r="G100" s="0" t="s">
        <v>204</v>
      </c>
      <c r="H100" s="0" t="s">
        <v>205</v>
      </c>
      <c r="I100" s="0" t="s">
        <v>206</v>
      </c>
      <c r="J100" s="0" t="s">
        <v>207</v>
      </c>
      <c r="K100" s="0" t="n">
        <v>0.618</v>
      </c>
      <c r="L100" s="0" t="s">
        <v>208</v>
      </c>
      <c r="M100" s="0" t="n">
        <v>1</v>
      </c>
    </row>
    <row r="101" customFormat="false" ht="15" hidden="false" customHeight="false" outlineLevel="0" collapsed="false">
      <c r="A101" s="0" t="n">
        <v>10</v>
      </c>
      <c r="B101" s="0" t="s">
        <v>381</v>
      </c>
      <c r="C101" s="0" t="s">
        <v>382</v>
      </c>
      <c r="D101" s="0" t="s">
        <v>172</v>
      </c>
      <c r="E101" s="0" t="s">
        <v>107</v>
      </c>
      <c r="F101" s="0" t="n">
        <v>0</v>
      </c>
      <c r="G101" s="0" t="s">
        <v>204</v>
      </c>
      <c r="H101" s="0" t="s">
        <v>205</v>
      </c>
      <c r="I101" s="0" t="s">
        <v>206</v>
      </c>
      <c r="J101" s="0" t="s">
        <v>207</v>
      </c>
      <c r="K101" s="0" t="n">
        <v>0.897</v>
      </c>
      <c r="L101" s="0" t="s">
        <v>148</v>
      </c>
      <c r="M101" s="0" t="n">
        <v>0</v>
      </c>
    </row>
    <row r="102" customFormat="false" ht="15" hidden="false" customHeight="false" outlineLevel="0" collapsed="false">
      <c r="A102" s="0" t="n">
        <v>10</v>
      </c>
      <c r="B102" s="0" t="s">
        <v>383</v>
      </c>
      <c r="C102" s="0" t="s">
        <v>384</v>
      </c>
      <c r="D102" s="0" t="s">
        <v>173</v>
      </c>
      <c r="E102" s="0" t="s">
        <v>107</v>
      </c>
      <c r="F102" s="0" t="n">
        <v>0</v>
      </c>
      <c r="G102" s="0" t="s">
        <v>204</v>
      </c>
      <c r="H102" s="0" t="s">
        <v>205</v>
      </c>
      <c r="I102" s="0" t="s">
        <v>206</v>
      </c>
      <c r="J102" s="0" t="s">
        <v>207</v>
      </c>
      <c r="K102" s="0" t="n">
        <v>0.346</v>
      </c>
      <c r="L102" s="0" t="s">
        <v>208</v>
      </c>
      <c r="M102" s="0" t="n">
        <v>1</v>
      </c>
    </row>
    <row r="103" customFormat="false" ht="15" hidden="false" customHeight="false" outlineLevel="0" collapsed="false">
      <c r="A103" s="0" t="n">
        <v>10</v>
      </c>
      <c r="B103" s="0" t="s">
        <v>385</v>
      </c>
      <c r="C103" s="0" t="s">
        <v>386</v>
      </c>
      <c r="D103" s="0" t="s">
        <v>173</v>
      </c>
      <c r="E103" s="0" t="s">
        <v>107</v>
      </c>
      <c r="F103" s="0" t="n">
        <v>0</v>
      </c>
      <c r="G103" s="0" t="s">
        <v>204</v>
      </c>
      <c r="H103" s="0" t="s">
        <v>205</v>
      </c>
      <c r="I103" s="0" t="s">
        <v>206</v>
      </c>
      <c r="J103" s="0" t="s">
        <v>207</v>
      </c>
      <c r="K103" s="0" t="n">
        <v>0.531</v>
      </c>
      <c r="L103" s="0" t="s">
        <v>147</v>
      </c>
      <c r="M103" s="0" t="n">
        <v>0</v>
      </c>
    </row>
    <row r="104" customFormat="false" ht="15" hidden="false" customHeight="false" outlineLevel="0" collapsed="false">
      <c r="A104" s="0" t="n">
        <v>10</v>
      </c>
      <c r="B104" s="0" t="s">
        <v>387</v>
      </c>
      <c r="C104" s="0" t="s">
        <v>388</v>
      </c>
      <c r="D104" s="0" t="s">
        <v>173</v>
      </c>
      <c r="E104" s="0" t="s">
        <v>107</v>
      </c>
      <c r="F104" s="0" t="n">
        <v>0</v>
      </c>
      <c r="G104" s="0" t="s">
        <v>204</v>
      </c>
      <c r="H104" s="0" t="s">
        <v>205</v>
      </c>
      <c r="I104" s="0" t="s">
        <v>206</v>
      </c>
      <c r="J104" s="0" t="s">
        <v>207</v>
      </c>
      <c r="K104" s="0" t="n">
        <v>0.841</v>
      </c>
      <c r="L104" s="0" t="s">
        <v>148</v>
      </c>
      <c r="M104" s="0" t="n">
        <v>0</v>
      </c>
    </row>
    <row r="105" customFormat="false" ht="15" hidden="false" customHeight="false" outlineLevel="0" collapsed="false">
      <c r="A105" s="0" t="n">
        <v>10</v>
      </c>
      <c r="B105" s="0" t="s">
        <v>389</v>
      </c>
      <c r="C105" s="0" t="s">
        <v>390</v>
      </c>
      <c r="D105" s="0" t="s">
        <v>173</v>
      </c>
      <c r="E105" s="0" t="s">
        <v>107</v>
      </c>
      <c r="F105" s="0" t="n">
        <v>0</v>
      </c>
      <c r="G105" s="0" t="s">
        <v>204</v>
      </c>
      <c r="H105" s="0" t="s">
        <v>205</v>
      </c>
      <c r="I105" s="0" t="s">
        <v>206</v>
      </c>
      <c r="J105" s="0" t="s">
        <v>207</v>
      </c>
      <c r="K105" s="0" t="n">
        <v>0.278</v>
      </c>
      <c r="L105" s="0" t="s">
        <v>147</v>
      </c>
      <c r="M105" s="0" t="n">
        <v>0</v>
      </c>
    </row>
    <row r="106" customFormat="false" ht="15" hidden="false" customHeight="false" outlineLevel="0" collapsed="false">
      <c r="A106" s="0" t="n">
        <v>10</v>
      </c>
      <c r="B106" s="0" t="s">
        <v>391</v>
      </c>
      <c r="C106" s="0" t="s">
        <v>392</v>
      </c>
      <c r="D106" s="0" t="s">
        <v>173</v>
      </c>
      <c r="E106" s="0" t="s">
        <v>107</v>
      </c>
      <c r="F106" s="0" t="n">
        <v>0</v>
      </c>
      <c r="G106" s="0" t="s">
        <v>204</v>
      </c>
      <c r="H106" s="0" t="s">
        <v>205</v>
      </c>
      <c r="I106" s="0" t="s">
        <v>206</v>
      </c>
      <c r="J106" s="0" t="s">
        <v>207</v>
      </c>
      <c r="K106" s="0" t="n">
        <v>0.816</v>
      </c>
      <c r="L106" s="0" t="s">
        <v>208</v>
      </c>
      <c r="M106" s="0" t="n">
        <v>1</v>
      </c>
    </row>
    <row r="107" customFormat="false" ht="15" hidden="false" customHeight="false" outlineLevel="0" collapsed="false">
      <c r="A107" s="0" t="n">
        <v>10</v>
      </c>
      <c r="B107" s="0" t="s">
        <v>391</v>
      </c>
      <c r="C107" s="0" t="s">
        <v>392</v>
      </c>
      <c r="D107" s="0" t="s">
        <v>173</v>
      </c>
      <c r="E107" s="0" t="s">
        <v>107</v>
      </c>
      <c r="F107" s="0" t="n">
        <v>1</v>
      </c>
      <c r="G107" s="0" t="s">
        <v>247</v>
      </c>
      <c r="H107" s="0" t="s">
        <v>205</v>
      </c>
      <c r="I107" s="0" t="s">
        <v>248</v>
      </c>
      <c r="J107" s="0" t="s">
        <v>207</v>
      </c>
      <c r="K107" s="0" t="n">
        <v>0.844</v>
      </c>
      <c r="L107" s="0" t="s">
        <v>148</v>
      </c>
      <c r="M107" s="0" t="n">
        <v>0</v>
      </c>
    </row>
    <row r="108" customFormat="false" ht="15" hidden="false" customHeight="false" outlineLevel="0" collapsed="false">
      <c r="A108" s="0" t="n">
        <v>10</v>
      </c>
      <c r="B108" s="0" t="s">
        <v>393</v>
      </c>
      <c r="C108" s="0" t="s">
        <v>394</v>
      </c>
      <c r="D108" s="0" t="s">
        <v>173</v>
      </c>
      <c r="E108" s="0" t="s">
        <v>107</v>
      </c>
      <c r="F108" s="0" t="n">
        <v>0</v>
      </c>
      <c r="G108" s="0" t="s">
        <v>204</v>
      </c>
      <c r="H108" s="0" t="s">
        <v>205</v>
      </c>
      <c r="I108" s="0" t="s">
        <v>206</v>
      </c>
      <c r="J108" s="0" t="s">
        <v>207</v>
      </c>
      <c r="K108" s="0" t="n">
        <v>0.891</v>
      </c>
      <c r="L108" s="0" t="s">
        <v>148</v>
      </c>
      <c r="M108" s="0" t="n">
        <v>0</v>
      </c>
    </row>
    <row r="109" customFormat="false" ht="15" hidden="false" customHeight="false" outlineLevel="0" collapsed="false">
      <c r="A109" s="0" t="n">
        <v>10</v>
      </c>
      <c r="B109" s="0" t="s">
        <v>395</v>
      </c>
      <c r="C109" s="0" t="s">
        <v>396</v>
      </c>
      <c r="D109" s="0" t="s">
        <v>174</v>
      </c>
      <c r="E109" s="0" t="s">
        <v>107</v>
      </c>
      <c r="F109" s="0" t="n">
        <v>0</v>
      </c>
      <c r="G109" s="0" t="s">
        <v>204</v>
      </c>
      <c r="H109" s="0" t="s">
        <v>205</v>
      </c>
      <c r="I109" s="0" t="s">
        <v>206</v>
      </c>
      <c r="J109" s="0" t="s">
        <v>207</v>
      </c>
      <c r="K109" s="0" t="n">
        <v>0.63</v>
      </c>
      <c r="L109" s="0" t="s">
        <v>148</v>
      </c>
      <c r="M109" s="0" t="n">
        <v>0</v>
      </c>
    </row>
    <row r="110" customFormat="false" ht="15" hidden="false" customHeight="false" outlineLevel="0" collapsed="false">
      <c r="A110" s="0" t="n">
        <v>10</v>
      </c>
      <c r="B110" s="0" t="s">
        <v>397</v>
      </c>
      <c r="C110" s="0" t="s">
        <v>398</v>
      </c>
      <c r="D110" s="0" t="s">
        <v>174</v>
      </c>
      <c r="E110" s="0" t="s">
        <v>107</v>
      </c>
      <c r="F110" s="0" t="n">
        <v>0</v>
      </c>
      <c r="G110" s="0" t="s">
        <v>204</v>
      </c>
      <c r="H110" s="0" t="s">
        <v>205</v>
      </c>
      <c r="I110" s="0" t="s">
        <v>206</v>
      </c>
      <c r="J110" s="0" t="s">
        <v>207</v>
      </c>
      <c r="K110" s="0" t="n">
        <v>0.745</v>
      </c>
      <c r="L110" s="0" t="s">
        <v>147</v>
      </c>
      <c r="M110" s="0" t="n">
        <v>0</v>
      </c>
    </row>
    <row r="111" customFormat="false" ht="15" hidden="false" customHeight="false" outlineLevel="0" collapsed="false">
      <c r="A111" s="0" t="n">
        <v>10</v>
      </c>
      <c r="B111" s="0" t="s">
        <v>399</v>
      </c>
      <c r="C111" s="0" t="s">
        <v>400</v>
      </c>
      <c r="D111" s="0" t="s">
        <v>174</v>
      </c>
      <c r="E111" s="0" t="s">
        <v>107</v>
      </c>
      <c r="F111" s="0" t="n">
        <v>0</v>
      </c>
      <c r="G111" s="0" t="s">
        <v>204</v>
      </c>
      <c r="H111" s="0" t="s">
        <v>205</v>
      </c>
      <c r="I111" s="0" t="s">
        <v>206</v>
      </c>
      <c r="J111" s="0" t="s">
        <v>207</v>
      </c>
      <c r="K111" s="0" t="n">
        <v>0.554</v>
      </c>
      <c r="L111" s="0" t="s">
        <v>208</v>
      </c>
      <c r="M111" s="0" t="n">
        <v>1</v>
      </c>
    </row>
    <row r="112" customFormat="false" ht="15" hidden="false" customHeight="false" outlineLevel="0" collapsed="false">
      <c r="A112" s="0" t="n">
        <v>10</v>
      </c>
      <c r="B112" s="0" t="s">
        <v>399</v>
      </c>
      <c r="C112" s="0" t="s">
        <v>400</v>
      </c>
      <c r="D112" s="0" t="s">
        <v>174</v>
      </c>
      <c r="E112" s="0" t="s">
        <v>107</v>
      </c>
      <c r="F112" s="0" t="n">
        <v>1</v>
      </c>
      <c r="G112" s="0" t="s">
        <v>247</v>
      </c>
      <c r="H112" s="0" t="s">
        <v>205</v>
      </c>
      <c r="I112" s="0" t="s">
        <v>248</v>
      </c>
      <c r="J112" s="0" t="s">
        <v>207</v>
      </c>
      <c r="K112" s="0" t="n">
        <v>0.553</v>
      </c>
      <c r="L112" s="0" t="s">
        <v>208</v>
      </c>
      <c r="M112" s="0" t="n">
        <v>1</v>
      </c>
    </row>
    <row r="113" customFormat="false" ht="15" hidden="false" customHeight="false" outlineLevel="0" collapsed="false">
      <c r="A113" s="0" t="n">
        <v>10</v>
      </c>
      <c r="B113" s="0" t="s">
        <v>401</v>
      </c>
      <c r="C113" s="0" t="s">
        <v>402</v>
      </c>
      <c r="D113" s="0" t="s">
        <v>174</v>
      </c>
      <c r="E113" s="0" t="s">
        <v>107</v>
      </c>
      <c r="F113" s="0" t="n">
        <v>0</v>
      </c>
      <c r="G113" s="0" t="s">
        <v>204</v>
      </c>
      <c r="H113" s="0" t="s">
        <v>205</v>
      </c>
      <c r="I113" s="0" t="s">
        <v>206</v>
      </c>
      <c r="J113" s="0" t="s">
        <v>207</v>
      </c>
      <c r="K113" s="0" t="n">
        <v>0.543</v>
      </c>
      <c r="L113" s="0" t="s">
        <v>208</v>
      </c>
      <c r="M113" s="0" t="n">
        <v>1</v>
      </c>
    </row>
    <row r="114" customFormat="false" ht="15" hidden="false" customHeight="false" outlineLevel="0" collapsed="false">
      <c r="A114" s="0" t="n">
        <v>10</v>
      </c>
      <c r="B114" s="0" t="s">
        <v>403</v>
      </c>
      <c r="C114" s="0" t="s">
        <v>404</v>
      </c>
      <c r="D114" s="0" t="s">
        <v>174</v>
      </c>
      <c r="E114" s="0" t="s">
        <v>107</v>
      </c>
      <c r="F114" s="0" t="n">
        <v>0</v>
      </c>
      <c r="G114" s="0" t="s">
        <v>204</v>
      </c>
      <c r="H114" s="0" t="s">
        <v>205</v>
      </c>
      <c r="I114" s="0" t="s">
        <v>206</v>
      </c>
      <c r="J114" s="0" t="s">
        <v>207</v>
      </c>
      <c r="K114" s="0" t="n">
        <v>0.607</v>
      </c>
      <c r="L114" s="0" t="s">
        <v>148</v>
      </c>
      <c r="M114" s="0" t="n">
        <v>0</v>
      </c>
    </row>
    <row r="115" customFormat="false" ht="15" hidden="false" customHeight="false" outlineLevel="0" collapsed="false">
      <c r="A115" s="0" t="n">
        <v>10</v>
      </c>
      <c r="B115" s="0" t="s">
        <v>405</v>
      </c>
      <c r="C115" s="0" t="s">
        <v>406</v>
      </c>
      <c r="D115" s="0" t="s">
        <v>174</v>
      </c>
      <c r="E115" s="0" t="s">
        <v>107</v>
      </c>
      <c r="F115" s="0" t="n">
        <v>0</v>
      </c>
      <c r="G115" s="0" t="s">
        <v>204</v>
      </c>
      <c r="H115" s="0" t="s">
        <v>205</v>
      </c>
      <c r="I115" s="0" t="s">
        <v>206</v>
      </c>
      <c r="J115" s="0" t="s">
        <v>207</v>
      </c>
      <c r="K115" s="0" t="n">
        <v>0.483</v>
      </c>
      <c r="L115" s="0" t="s">
        <v>147</v>
      </c>
      <c r="M115" s="0" t="n">
        <v>0</v>
      </c>
    </row>
    <row r="116" customFormat="false" ht="15" hidden="false" customHeight="false" outlineLevel="0" collapsed="false">
      <c r="A116" s="0" t="n">
        <v>10</v>
      </c>
      <c r="B116" s="0" t="s">
        <v>407</v>
      </c>
      <c r="C116" s="0" t="s">
        <v>408</v>
      </c>
      <c r="D116" s="0" t="s">
        <v>174</v>
      </c>
      <c r="E116" s="0" t="s">
        <v>107</v>
      </c>
      <c r="F116" s="0" t="n">
        <v>0</v>
      </c>
      <c r="G116" s="0" t="s">
        <v>204</v>
      </c>
      <c r="H116" s="0" t="s">
        <v>205</v>
      </c>
      <c r="I116" s="0" t="s">
        <v>206</v>
      </c>
      <c r="J116" s="0" t="s">
        <v>207</v>
      </c>
      <c r="K116" s="0" t="n">
        <v>0.704</v>
      </c>
      <c r="L116" s="0" t="s">
        <v>208</v>
      </c>
      <c r="M116" s="0" t="n">
        <v>1</v>
      </c>
    </row>
    <row r="117" customFormat="false" ht="15" hidden="false" customHeight="false" outlineLevel="0" collapsed="false">
      <c r="A117" s="0" t="n">
        <v>10</v>
      </c>
      <c r="B117" s="0" t="s">
        <v>407</v>
      </c>
      <c r="C117" s="0" t="s">
        <v>408</v>
      </c>
      <c r="D117" s="0" t="s">
        <v>174</v>
      </c>
      <c r="E117" s="0" t="s">
        <v>107</v>
      </c>
      <c r="F117" s="0" t="n">
        <v>1</v>
      </c>
      <c r="G117" s="0" t="s">
        <v>247</v>
      </c>
      <c r="H117" s="0" t="s">
        <v>205</v>
      </c>
      <c r="I117" s="0" t="s">
        <v>248</v>
      </c>
      <c r="J117" s="0" t="s">
        <v>207</v>
      </c>
      <c r="K117" s="0" t="n">
        <v>0.668</v>
      </c>
      <c r="L117" s="0" t="s">
        <v>148</v>
      </c>
      <c r="M117" s="0" t="n">
        <v>0</v>
      </c>
    </row>
    <row r="118" customFormat="false" ht="15" hidden="false" customHeight="false" outlineLevel="0" collapsed="false">
      <c r="A118" s="0" t="n">
        <v>10</v>
      </c>
      <c r="B118" s="0" t="s">
        <v>409</v>
      </c>
      <c r="C118" s="0" t="s">
        <v>410</v>
      </c>
      <c r="D118" s="0" t="s">
        <v>174</v>
      </c>
      <c r="E118" s="0" t="s">
        <v>107</v>
      </c>
      <c r="F118" s="0" t="n">
        <v>0</v>
      </c>
      <c r="G118" s="0" t="s">
        <v>204</v>
      </c>
      <c r="H118" s="0" t="s">
        <v>205</v>
      </c>
      <c r="I118" s="0" t="s">
        <v>206</v>
      </c>
      <c r="J118" s="0" t="s">
        <v>207</v>
      </c>
      <c r="K118" s="0" t="n">
        <v>0.695</v>
      </c>
      <c r="L118" s="0" t="s">
        <v>148</v>
      </c>
      <c r="M118" s="0" t="n">
        <v>0</v>
      </c>
    </row>
    <row r="119" customFormat="false" ht="15" hidden="false" customHeight="false" outlineLevel="0" collapsed="false">
      <c r="A119" s="0" t="n">
        <v>10</v>
      </c>
      <c r="B119" s="0" t="s">
        <v>411</v>
      </c>
      <c r="C119" s="0" t="s">
        <v>412</v>
      </c>
      <c r="D119" s="0" t="s">
        <v>174</v>
      </c>
      <c r="E119" s="0" t="s">
        <v>107</v>
      </c>
      <c r="F119" s="0" t="n">
        <v>0</v>
      </c>
      <c r="G119" s="0" t="s">
        <v>204</v>
      </c>
      <c r="H119" s="0" t="s">
        <v>205</v>
      </c>
      <c r="I119" s="0" t="s">
        <v>206</v>
      </c>
      <c r="J119" s="0" t="s">
        <v>207</v>
      </c>
      <c r="K119" s="0" t="n">
        <v>0.797</v>
      </c>
      <c r="L119" s="0" t="s">
        <v>208</v>
      </c>
      <c r="M119" s="0" t="n">
        <v>1</v>
      </c>
    </row>
    <row r="120" customFormat="false" ht="15" hidden="false" customHeight="false" outlineLevel="0" collapsed="false">
      <c r="A120" s="0" t="n">
        <v>10</v>
      </c>
      <c r="B120" s="0" t="s">
        <v>413</v>
      </c>
      <c r="C120" s="0" t="s">
        <v>414</v>
      </c>
      <c r="D120" s="0" t="s">
        <v>175</v>
      </c>
      <c r="E120" s="0" t="s">
        <v>107</v>
      </c>
      <c r="F120" s="0" t="n">
        <v>0</v>
      </c>
      <c r="G120" s="0" t="s">
        <v>204</v>
      </c>
      <c r="H120" s="0" t="s">
        <v>205</v>
      </c>
      <c r="I120" s="0" t="s">
        <v>206</v>
      </c>
      <c r="J120" s="0" t="s">
        <v>207</v>
      </c>
      <c r="K120" s="0" t="n">
        <v>0.587</v>
      </c>
      <c r="L120" s="0" t="s">
        <v>148</v>
      </c>
      <c r="M120" s="0" t="n">
        <v>0</v>
      </c>
    </row>
    <row r="121" customFormat="false" ht="15" hidden="false" customHeight="false" outlineLevel="0" collapsed="false">
      <c r="A121" s="0" t="n">
        <v>10</v>
      </c>
      <c r="B121" s="0" t="s">
        <v>415</v>
      </c>
      <c r="C121" s="0" t="s">
        <v>416</v>
      </c>
      <c r="D121" s="0" t="s">
        <v>175</v>
      </c>
      <c r="E121" s="0" t="s">
        <v>107</v>
      </c>
      <c r="F121" s="0" t="n">
        <v>0</v>
      </c>
      <c r="G121" s="0" t="s">
        <v>204</v>
      </c>
      <c r="H121" s="0" t="s">
        <v>205</v>
      </c>
      <c r="I121" s="0" t="s">
        <v>206</v>
      </c>
      <c r="J121" s="0" t="s">
        <v>207</v>
      </c>
      <c r="K121" s="0" t="n">
        <v>0.367</v>
      </c>
      <c r="L121" s="0" t="s">
        <v>208</v>
      </c>
      <c r="M121" s="0" t="n">
        <v>1</v>
      </c>
    </row>
    <row r="122" customFormat="false" ht="15" hidden="false" customHeight="false" outlineLevel="0" collapsed="false">
      <c r="A122" s="0" t="n">
        <v>10</v>
      </c>
      <c r="B122" s="0" t="s">
        <v>415</v>
      </c>
      <c r="C122" s="0" t="s">
        <v>416</v>
      </c>
      <c r="D122" s="0" t="s">
        <v>175</v>
      </c>
      <c r="E122" s="0" t="s">
        <v>107</v>
      </c>
      <c r="F122" s="0" t="n">
        <v>1</v>
      </c>
      <c r="G122" s="0" t="s">
        <v>247</v>
      </c>
      <c r="H122" s="0" t="s">
        <v>205</v>
      </c>
      <c r="I122" s="0" t="s">
        <v>248</v>
      </c>
      <c r="J122" s="0" t="s">
        <v>207</v>
      </c>
      <c r="K122" s="0" t="n">
        <v>0.741</v>
      </c>
      <c r="L122" s="0" t="s">
        <v>148</v>
      </c>
      <c r="M122" s="0" t="n">
        <v>0</v>
      </c>
    </row>
    <row r="123" customFormat="false" ht="15" hidden="false" customHeight="false" outlineLevel="0" collapsed="false">
      <c r="A123" s="0" t="n">
        <v>10</v>
      </c>
      <c r="B123" s="0" t="s">
        <v>417</v>
      </c>
      <c r="C123" s="0" t="s">
        <v>418</v>
      </c>
      <c r="D123" s="0" t="s">
        <v>175</v>
      </c>
      <c r="E123" s="0" t="s">
        <v>107</v>
      </c>
      <c r="F123" s="0" t="n">
        <v>0</v>
      </c>
      <c r="G123" s="0" t="s">
        <v>204</v>
      </c>
      <c r="H123" s="0" t="s">
        <v>205</v>
      </c>
      <c r="I123" s="0" t="s">
        <v>206</v>
      </c>
      <c r="J123" s="0" t="s">
        <v>207</v>
      </c>
      <c r="K123" s="0" t="n">
        <v>0.722</v>
      </c>
      <c r="L123" s="0" t="s">
        <v>208</v>
      </c>
      <c r="M123" s="0" t="n">
        <v>1</v>
      </c>
    </row>
    <row r="124" customFormat="false" ht="15" hidden="false" customHeight="false" outlineLevel="0" collapsed="false">
      <c r="A124" s="0" t="n">
        <v>10</v>
      </c>
      <c r="B124" s="0" t="s">
        <v>419</v>
      </c>
      <c r="C124" s="0" t="s">
        <v>420</v>
      </c>
      <c r="D124" s="0" t="s">
        <v>175</v>
      </c>
      <c r="E124" s="0" t="s">
        <v>107</v>
      </c>
      <c r="F124" s="0" t="n">
        <v>0</v>
      </c>
      <c r="G124" s="0" t="s">
        <v>204</v>
      </c>
      <c r="H124" s="0" t="s">
        <v>205</v>
      </c>
      <c r="I124" s="0" t="s">
        <v>206</v>
      </c>
      <c r="J124" s="0" t="s">
        <v>207</v>
      </c>
      <c r="K124" s="0" t="n">
        <v>0.285</v>
      </c>
      <c r="L124" s="0" t="s">
        <v>208</v>
      </c>
      <c r="M124" s="0" t="n">
        <v>1</v>
      </c>
    </row>
    <row r="125" customFormat="false" ht="15" hidden="false" customHeight="false" outlineLevel="0" collapsed="false">
      <c r="A125" s="0" t="n">
        <v>10</v>
      </c>
      <c r="B125" s="0" t="s">
        <v>421</v>
      </c>
      <c r="C125" s="0" t="s">
        <v>422</v>
      </c>
      <c r="D125" s="0" t="s">
        <v>175</v>
      </c>
      <c r="E125" s="0" t="s">
        <v>107</v>
      </c>
      <c r="F125" s="0" t="n">
        <v>0</v>
      </c>
      <c r="G125" s="0" t="s">
        <v>204</v>
      </c>
      <c r="H125" s="0" t="s">
        <v>205</v>
      </c>
      <c r="I125" s="0" t="s">
        <v>206</v>
      </c>
      <c r="J125" s="0" t="s">
        <v>207</v>
      </c>
      <c r="K125" s="0" t="n">
        <v>0.523</v>
      </c>
      <c r="L125" s="0" t="s">
        <v>148</v>
      </c>
      <c r="M125" s="0" t="n">
        <v>0</v>
      </c>
    </row>
    <row r="126" customFormat="false" ht="15" hidden="false" customHeight="false" outlineLevel="0" collapsed="false">
      <c r="A126" s="0" t="n">
        <v>10</v>
      </c>
      <c r="B126" s="0" t="s">
        <v>423</v>
      </c>
      <c r="C126" s="0" t="s">
        <v>424</v>
      </c>
      <c r="D126" s="0" t="s">
        <v>176</v>
      </c>
      <c r="E126" s="0" t="s">
        <v>107</v>
      </c>
      <c r="F126" s="0" t="n">
        <v>0</v>
      </c>
      <c r="G126" s="0" t="s">
        <v>204</v>
      </c>
      <c r="H126" s="0" t="s">
        <v>205</v>
      </c>
      <c r="I126" s="0" t="s">
        <v>206</v>
      </c>
      <c r="J126" s="0" t="s">
        <v>207</v>
      </c>
      <c r="K126" s="0" t="n">
        <v>0.308</v>
      </c>
      <c r="L126" s="0" t="s">
        <v>148</v>
      </c>
      <c r="M126" s="0" t="n">
        <v>0</v>
      </c>
    </row>
    <row r="127" customFormat="false" ht="15" hidden="false" customHeight="false" outlineLevel="0" collapsed="false">
      <c r="A127" s="0" t="n">
        <v>10</v>
      </c>
      <c r="B127" s="0" t="s">
        <v>423</v>
      </c>
      <c r="C127" s="0" t="s">
        <v>424</v>
      </c>
      <c r="D127" s="0" t="s">
        <v>176</v>
      </c>
      <c r="E127" s="0" t="s">
        <v>107</v>
      </c>
      <c r="F127" s="0" t="n">
        <v>1</v>
      </c>
      <c r="G127" s="0" t="s">
        <v>247</v>
      </c>
      <c r="H127" s="0" t="s">
        <v>205</v>
      </c>
      <c r="I127" s="0" t="s">
        <v>248</v>
      </c>
      <c r="J127" s="0" t="s">
        <v>207</v>
      </c>
      <c r="K127" s="0" t="n">
        <v>0.546</v>
      </c>
      <c r="L127" s="0" t="s">
        <v>208</v>
      </c>
      <c r="M127" s="0" t="n">
        <v>1</v>
      </c>
    </row>
    <row r="128" customFormat="false" ht="15" hidden="false" customHeight="false" outlineLevel="0" collapsed="false">
      <c r="A128" s="0" t="n">
        <v>10</v>
      </c>
      <c r="B128" s="0" t="s">
        <v>425</v>
      </c>
      <c r="C128" s="0" t="s">
        <v>426</v>
      </c>
      <c r="D128" s="0" t="s">
        <v>176</v>
      </c>
      <c r="E128" s="0" t="s">
        <v>107</v>
      </c>
      <c r="F128" s="0" t="n">
        <v>0</v>
      </c>
      <c r="G128" s="0" t="s">
        <v>204</v>
      </c>
      <c r="H128" s="0" t="s">
        <v>205</v>
      </c>
      <c r="I128" s="0" t="s">
        <v>206</v>
      </c>
      <c r="J128" s="0" t="s">
        <v>207</v>
      </c>
      <c r="K128" s="0" t="n">
        <v>0.449</v>
      </c>
      <c r="L128" s="0" t="s">
        <v>147</v>
      </c>
      <c r="M128" s="0" t="n">
        <v>0</v>
      </c>
    </row>
    <row r="129" customFormat="false" ht="15" hidden="false" customHeight="false" outlineLevel="0" collapsed="false">
      <c r="A129" s="0" t="n">
        <v>10</v>
      </c>
      <c r="B129" s="0" t="s">
        <v>427</v>
      </c>
      <c r="C129" s="0" t="s">
        <v>428</v>
      </c>
      <c r="D129" s="0" t="s">
        <v>176</v>
      </c>
      <c r="E129" s="0" t="s">
        <v>107</v>
      </c>
      <c r="F129" s="0" t="n">
        <v>0</v>
      </c>
      <c r="G129" s="0" t="s">
        <v>204</v>
      </c>
      <c r="H129" s="0" t="s">
        <v>205</v>
      </c>
      <c r="I129" s="0" t="s">
        <v>206</v>
      </c>
      <c r="J129" s="0" t="s">
        <v>207</v>
      </c>
      <c r="K129" s="0" t="n">
        <v>0.461</v>
      </c>
      <c r="L129" s="0" t="s">
        <v>147</v>
      </c>
      <c r="M129" s="0" t="n">
        <v>0</v>
      </c>
    </row>
    <row r="130" customFormat="false" ht="15" hidden="false" customHeight="false" outlineLevel="0" collapsed="false">
      <c r="A130" s="0" t="n">
        <v>10</v>
      </c>
      <c r="B130" s="0" t="s">
        <v>427</v>
      </c>
      <c r="C130" s="0" t="s">
        <v>428</v>
      </c>
      <c r="D130" s="0" t="s">
        <v>176</v>
      </c>
      <c r="E130" s="0" t="s">
        <v>107</v>
      </c>
      <c r="F130" s="0" t="n">
        <v>1</v>
      </c>
      <c r="G130" s="0" t="s">
        <v>247</v>
      </c>
      <c r="H130" s="0" t="s">
        <v>205</v>
      </c>
      <c r="I130" s="0" t="s">
        <v>248</v>
      </c>
      <c r="J130" s="0" t="s">
        <v>207</v>
      </c>
      <c r="K130" s="0" t="n">
        <v>0.423</v>
      </c>
      <c r="L130" s="0" t="s">
        <v>208</v>
      </c>
      <c r="M130" s="0" t="n">
        <v>1</v>
      </c>
    </row>
    <row r="131" customFormat="false" ht="15" hidden="false" customHeight="false" outlineLevel="0" collapsed="false">
      <c r="A131" s="0" t="n">
        <v>10</v>
      </c>
      <c r="B131" s="0" t="s">
        <v>429</v>
      </c>
      <c r="C131" s="0" t="s">
        <v>430</v>
      </c>
      <c r="D131" s="0" t="s">
        <v>176</v>
      </c>
      <c r="E131" s="0" t="s">
        <v>107</v>
      </c>
      <c r="F131" s="0" t="n">
        <v>0</v>
      </c>
      <c r="G131" s="0" t="s">
        <v>204</v>
      </c>
      <c r="H131" s="0" t="s">
        <v>205</v>
      </c>
      <c r="I131" s="0" t="s">
        <v>206</v>
      </c>
      <c r="J131" s="0" t="s">
        <v>207</v>
      </c>
      <c r="K131" s="0" t="n">
        <v>0.711</v>
      </c>
      <c r="L131" s="0" t="s">
        <v>147</v>
      </c>
      <c r="M131" s="0" t="n">
        <v>0</v>
      </c>
    </row>
    <row r="132" customFormat="false" ht="15" hidden="false" customHeight="false" outlineLevel="0" collapsed="false">
      <c r="A132" s="0" t="n">
        <v>10</v>
      </c>
      <c r="B132" s="0" t="s">
        <v>431</v>
      </c>
      <c r="C132" s="0" t="s">
        <v>432</v>
      </c>
      <c r="D132" s="0" t="s">
        <v>176</v>
      </c>
      <c r="E132" s="0" t="s">
        <v>107</v>
      </c>
      <c r="F132" s="0" t="n">
        <v>0</v>
      </c>
      <c r="G132" s="0" t="s">
        <v>204</v>
      </c>
      <c r="H132" s="0" t="s">
        <v>205</v>
      </c>
      <c r="I132" s="0" t="s">
        <v>206</v>
      </c>
      <c r="J132" s="0" t="s">
        <v>207</v>
      </c>
      <c r="K132" s="0" t="n">
        <v>0.291</v>
      </c>
      <c r="L132" s="0" t="s">
        <v>208</v>
      </c>
      <c r="M132" s="0" t="n">
        <v>1</v>
      </c>
    </row>
    <row r="133" customFormat="false" ht="15" hidden="false" customHeight="false" outlineLevel="0" collapsed="false">
      <c r="A133" s="0" t="n">
        <v>10</v>
      </c>
      <c r="B133" s="0" t="s">
        <v>431</v>
      </c>
      <c r="C133" s="0" t="s">
        <v>432</v>
      </c>
      <c r="D133" s="0" t="s">
        <v>176</v>
      </c>
      <c r="E133" s="0" t="s">
        <v>107</v>
      </c>
      <c r="F133" s="0" t="n">
        <v>1</v>
      </c>
      <c r="G133" s="0" t="s">
        <v>247</v>
      </c>
      <c r="H133" s="0" t="s">
        <v>205</v>
      </c>
      <c r="I133" s="0" t="s">
        <v>248</v>
      </c>
      <c r="J133" s="0" t="s">
        <v>207</v>
      </c>
      <c r="K133" s="0" t="n">
        <v>0.862</v>
      </c>
      <c r="L133" s="0" t="s">
        <v>147</v>
      </c>
      <c r="M133" s="0" t="n">
        <v>0</v>
      </c>
    </row>
    <row r="134" customFormat="false" ht="15" hidden="false" customHeight="false" outlineLevel="0" collapsed="false">
      <c r="A134" s="0" t="n">
        <v>10</v>
      </c>
      <c r="B134" s="0" t="s">
        <v>433</v>
      </c>
      <c r="C134" s="0" t="s">
        <v>434</v>
      </c>
      <c r="D134" s="0" t="s">
        <v>176</v>
      </c>
      <c r="E134" s="0" t="s">
        <v>107</v>
      </c>
      <c r="F134" s="0" t="n">
        <v>0</v>
      </c>
      <c r="G134" s="0" t="s">
        <v>204</v>
      </c>
      <c r="H134" s="0" t="s">
        <v>205</v>
      </c>
      <c r="I134" s="0" t="s">
        <v>206</v>
      </c>
      <c r="J134" s="0" t="s">
        <v>207</v>
      </c>
      <c r="K134" s="0" t="n">
        <v>0.252</v>
      </c>
      <c r="L134" s="0" t="s">
        <v>147</v>
      </c>
      <c r="M134" s="0" t="n">
        <v>0</v>
      </c>
    </row>
    <row r="135" customFormat="false" ht="15" hidden="false" customHeight="false" outlineLevel="0" collapsed="false">
      <c r="A135" s="0" t="n">
        <v>10</v>
      </c>
      <c r="B135" s="0" t="s">
        <v>435</v>
      </c>
      <c r="C135" s="0" t="s">
        <v>436</v>
      </c>
      <c r="D135" s="0" t="s">
        <v>176</v>
      </c>
      <c r="E135" s="0" t="s">
        <v>107</v>
      </c>
      <c r="F135" s="0" t="n">
        <v>0</v>
      </c>
      <c r="G135" s="0" t="s">
        <v>204</v>
      </c>
      <c r="H135" s="0" t="s">
        <v>205</v>
      </c>
      <c r="I135" s="0" t="s">
        <v>206</v>
      </c>
      <c r="J135" s="0" t="s">
        <v>207</v>
      </c>
      <c r="K135" s="0" t="n">
        <v>0.832</v>
      </c>
      <c r="L135" s="0" t="s">
        <v>147</v>
      </c>
      <c r="M135" s="0" t="n">
        <v>0</v>
      </c>
    </row>
    <row r="136" customFormat="false" ht="15" hidden="false" customHeight="false" outlineLevel="0" collapsed="false">
      <c r="A136" s="0" t="n">
        <v>10</v>
      </c>
      <c r="B136" s="0" t="s">
        <v>437</v>
      </c>
      <c r="C136" s="0" t="s">
        <v>438</v>
      </c>
      <c r="D136" s="0" t="s">
        <v>136</v>
      </c>
      <c r="E136" s="0" t="s">
        <v>107</v>
      </c>
      <c r="F136" s="0" t="n">
        <v>0</v>
      </c>
      <c r="G136" s="0" t="s">
        <v>204</v>
      </c>
      <c r="H136" s="0" t="s">
        <v>205</v>
      </c>
      <c r="I136" s="0" t="s">
        <v>206</v>
      </c>
      <c r="J136" s="0" t="s">
        <v>207</v>
      </c>
      <c r="K136" s="0" t="n">
        <v>0.732</v>
      </c>
      <c r="L136" s="0" t="s">
        <v>208</v>
      </c>
      <c r="M136" s="0" t="n">
        <v>1</v>
      </c>
    </row>
    <row r="137" customFormat="false" ht="15" hidden="false" customHeight="false" outlineLevel="0" collapsed="false">
      <c r="A137" s="0" t="n">
        <v>10</v>
      </c>
      <c r="B137" s="0" t="s">
        <v>439</v>
      </c>
      <c r="C137" s="0" t="s">
        <v>440</v>
      </c>
      <c r="D137" s="0" t="s">
        <v>136</v>
      </c>
      <c r="E137" s="0" t="s">
        <v>107</v>
      </c>
      <c r="F137" s="0" t="n">
        <v>0</v>
      </c>
      <c r="G137" s="0" t="s">
        <v>204</v>
      </c>
      <c r="H137" s="0" t="s">
        <v>205</v>
      </c>
      <c r="I137" s="0" t="s">
        <v>206</v>
      </c>
      <c r="J137" s="0" t="s">
        <v>207</v>
      </c>
      <c r="K137" s="0" t="n">
        <v>0.523</v>
      </c>
      <c r="L137" s="0" t="s">
        <v>208</v>
      </c>
      <c r="M137" s="0" t="n">
        <v>1</v>
      </c>
    </row>
    <row r="138" customFormat="false" ht="15" hidden="false" customHeight="false" outlineLevel="0" collapsed="false">
      <c r="A138" s="0" t="n">
        <v>10</v>
      </c>
      <c r="B138" s="0" t="s">
        <v>441</v>
      </c>
      <c r="C138" s="0" t="s">
        <v>442</v>
      </c>
      <c r="D138" s="0" t="s">
        <v>136</v>
      </c>
      <c r="E138" s="0" t="s">
        <v>107</v>
      </c>
      <c r="F138" s="0" t="n">
        <v>0</v>
      </c>
      <c r="G138" s="0" t="s">
        <v>204</v>
      </c>
      <c r="H138" s="0" t="s">
        <v>205</v>
      </c>
      <c r="I138" s="0" t="s">
        <v>206</v>
      </c>
      <c r="J138" s="0" t="s">
        <v>207</v>
      </c>
      <c r="K138" s="0" t="n">
        <v>0.813</v>
      </c>
      <c r="L138" s="0" t="s">
        <v>147</v>
      </c>
      <c r="M138" s="0" t="n">
        <v>0</v>
      </c>
    </row>
    <row r="139" customFormat="false" ht="15" hidden="false" customHeight="false" outlineLevel="0" collapsed="false">
      <c r="A139" s="0" t="n">
        <v>10</v>
      </c>
      <c r="B139" s="0" t="s">
        <v>443</v>
      </c>
      <c r="C139" s="0" t="s">
        <v>444</v>
      </c>
      <c r="D139" s="0" t="s">
        <v>136</v>
      </c>
      <c r="E139" s="0" t="s">
        <v>107</v>
      </c>
      <c r="F139" s="0" t="n">
        <v>0</v>
      </c>
      <c r="G139" s="0" t="s">
        <v>204</v>
      </c>
      <c r="H139" s="0" t="s">
        <v>205</v>
      </c>
      <c r="I139" s="0" t="s">
        <v>206</v>
      </c>
      <c r="J139" s="0" t="s">
        <v>207</v>
      </c>
      <c r="K139" s="0" t="n">
        <v>0.674</v>
      </c>
      <c r="L139" s="0" t="s">
        <v>148</v>
      </c>
      <c r="M139" s="0" t="n">
        <v>0</v>
      </c>
    </row>
    <row r="140" customFormat="false" ht="15" hidden="false" customHeight="false" outlineLevel="0" collapsed="false">
      <c r="A140" s="0" t="n">
        <v>10</v>
      </c>
      <c r="B140" s="0" t="s">
        <v>445</v>
      </c>
      <c r="C140" s="0" t="s">
        <v>446</v>
      </c>
      <c r="D140" s="0" t="s">
        <v>137</v>
      </c>
      <c r="E140" s="0" t="s">
        <v>118</v>
      </c>
      <c r="F140" s="0" t="n">
        <v>0</v>
      </c>
      <c r="G140" s="0" t="s">
        <v>204</v>
      </c>
      <c r="H140" s="0" t="s">
        <v>205</v>
      </c>
      <c r="I140" s="0" t="s">
        <v>206</v>
      </c>
      <c r="J140" s="0" t="s">
        <v>207</v>
      </c>
      <c r="K140" s="0" t="n">
        <v>0.379</v>
      </c>
      <c r="L140" s="0" t="s">
        <v>208</v>
      </c>
      <c r="M140" s="0" t="n">
        <v>1</v>
      </c>
    </row>
    <row r="141" customFormat="false" ht="15" hidden="false" customHeight="false" outlineLevel="0" collapsed="false">
      <c r="A141" s="0" t="n">
        <v>10</v>
      </c>
      <c r="B141" s="0" t="s">
        <v>447</v>
      </c>
      <c r="C141" s="0" t="s">
        <v>448</v>
      </c>
      <c r="D141" s="0" t="s">
        <v>137</v>
      </c>
      <c r="E141" s="0" t="s">
        <v>118</v>
      </c>
      <c r="F141" s="0" t="n">
        <v>0</v>
      </c>
      <c r="G141" s="0" t="s">
        <v>204</v>
      </c>
      <c r="H141" s="0" t="s">
        <v>205</v>
      </c>
      <c r="I141" s="0" t="s">
        <v>206</v>
      </c>
      <c r="J141" s="0" t="s">
        <v>207</v>
      </c>
      <c r="K141" s="0" t="n">
        <v>0.446</v>
      </c>
      <c r="L141" s="0" t="s">
        <v>147</v>
      </c>
      <c r="M141" s="0" t="n">
        <v>0</v>
      </c>
    </row>
    <row r="142" customFormat="false" ht="15" hidden="false" customHeight="false" outlineLevel="0" collapsed="false">
      <c r="A142" s="0" t="n">
        <v>10</v>
      </c>
      <c r="B142" s="0" t="s">
        <v>449</v>
      </c>
      <c r="C142" s="0" t="s">
        <v>450</v>
      </c>
      <c r="D142" s="0" t="s">
        <v>137</v>
      </c>
      <c r="E142" s="0" t="s">
        <v>118</v>
      </c>
      <c r="F142" s="0" t="n">
        <v>0</v>
      </c>
      <c r="G142" s="0" t="s">
        <v>204</v>
      </c>
      <c r="H142" s="0" t="s">
        <v>205</v>
      </c>
      <c r="I142" s="0" t="s">
        <v>206</v>
      </c>
      <c r="J142" s="0" t="s">
        <v>207</v>
      </c>
      <c r="K142" s="0" t="n">
        <v>0.646</v>
      </c>
      <c r="L142" s="0" t="s">
        <v>208</v>
      </c>
      <c r="M142" s="0" t="n">
        <v>1</v>
      </c>
    </row>
    <row r="143" customFormat="false" ht="15" hidden="false" customHeight="false" outlineLevel="0" collapsed="false">
      <c r="A143" s="0" t="n">
        <v>10</v>
      </c>
      <c r="B143" s="0" t="s">
        <v>449</v>
      </c>
      <c r="C143" s="0" t="s">
        <v>450</v>
      </c>
      <c r="D143" s="0" t="s">
        <v>137</v>
      </c>
      <c r="E143" s="0" t="s">
        <v>118</v>
      </c>
      <c r="F143" s="0" t="n">
        <v>1</v>
      </c>
      <c r="G143" s="0" t="s">
        <v>247</v>
      </c>
      <c r="H143" s="0" t="s">
        <v>205</v>
      </c>
      <c r="I143" s="0" t="s">
        <v>248</v>
      </c>
      <c r="J143" s="0" t="s">
        <v>207</v>
      </c>
      <c r="K143" s="0" t="n">
        <v>0.562</v>
      </c>
      <c r="L143" s="0" t="s">
        <v>148</v>
      </c>
      <c r="M143" s="0" t="n">
        <v>0</v>
      </c>
    </row>
    <row r="144" customFormat="false" ht="15" hidden="false" customHeight="false" outlineLevel="0" collapsed="false">
      <c r="A144" s="0" t="n">
        <v>10</v>
      </c>
      <c r="B144" s="0" t="s">
        <v>451</v>
      </c>
      <c r="C144" s="0" t="s">
        <v>452</v>
      </c>
      <c r="D144" s="0" t="s">
        <v>137</v>
      </c>
      <c r="E144" s="0" t="s">
        <v>118</v>
      </c>
      <c r="F144" s="0" t="n">
        <v>0</v>
      </c>
      <c r="G144" s="0" t="s">
        <v>204</v>
      </c>
      <c r="H144" s="0" t="s">
        <v>205</v>
      </c>
      <c r="I144" s="0" t="s">
        <v>206</v>
      </c>
      <c r="J144" s="0" t="s">
        <v>207</v>
      </c>
      <c r="K144" s="0" t="n">
        <v>0.303</v>
      </c>
      <c r="L144" s="0" t="s">
        <v>148</v>
      </c>
      <c r="M144" s="0" t="n">
        <v>0</v>
      </c>
    </row>
    <row r="145" customFormat="false" ht="15" hidden="false" customHeight="false" outlineLevel="0" collapsed="false">
      <c r="A145" s="0" t="n">
        <v>10</v>
      </c>
      <c r="B145" s="0" t="s">
        <v>453</v>
      </c>
      <c r="C145" s="0" t="s">
        <v>454</v>
      </c>
      <c r="D145" s="0" t="s">
        <v>137</v>
      </c>
      <c r="E145" s="0" t="s">
        <v>118</v>
      </c>
      <c r="F145" s="0" t="n">
        <v>0</v>
      </c>
      <c r="G145" s="0" t="s">
        <v>204</v>
      </c>
      <c r="H145" s="0" t="s">
        <v>205</v>
      </c>
      <c r="I145" s="0" t="s">
        <v>206</v>
      </c>
      <c r="J145" s="0" t="s">
        <v>207</v>
      </c>
      <c r="K145" s="0" t="n">
        <v>0.659</v>
      </c>
      <c r="L145" s="0" t="s">
        <v>147</v>
      </c>
      <c r="M145" s="0" t="n">
        <v>0</v>
      </c>
    </row>
    <row r="146" customFormat="false" ht="15" hidden="false" customHeight="false" outlineLevel="0" collapsed="false">
      <c r="A146" s="0" t="n">
        <v>10</v>
      </c>
      <c r="B146" s="0" t="s">
        <v>455</v>
      </c>
      <c r="C146" s="0" t="s">
        <v>456</v>
      </c>
      <c r="D146" s="0" t="s">
        <v>157</v>
      </c>
      <c r="E146" s="0" t="s">
        <v>118</v>
      </c>
      <c r="F146" s="0" t="n">
        <v>0</v>
      </c>
      <c r="G146" s="0" t="s">
        <v>204</v>
      </c>
      <c r="H146" s="0" t="s">
        <v>205</v>
      </c>
      <c r="I146" s="0" t="s">
        <v>206</v>
      </c>
      <c r="J146" s="0" t="s">
        <v>207</v>
      </c>
      <c r="K146" s="0" t="n">
        <v>0.355</v>
      </c>
      <c r="L146" s="0" t="s">
        <v>208</v>
      </c>
      <c r="M146" s="0" t="n">
        <v>1</v>
      </c>
    </row>
    <row r="147" customFormat="false" ht="15" hidden="false" customHeight="false" outlineLevel="0" collapsed="false">
      <c r="A147" s="0" t="n">
        <v>10</v>
      </c>
      <c r="B147" s="0" t="s">
        <v>457</v>
      </c>
      <c r="C147" s="0" t="s">
        <v>458</v>
      </c>
      <c r="D147" s="0" t="s">
        <v>157</v>
      </c>
      <c r="E147" s="0" t="s">
        <v>118</v>
      </c>
      <c r="F147" s="0" t="n">
        <v>0</v>
      </c>
      <c r="G147" s="0" t="s">
        <v>204</v>
      </c>
      <c r="H147" s="0" t="s">
        <v>205</v>
      </c>
      <c r="I147" s="0" t="s">
        <v>206</v>
      </c>
      <c r="J147" s="0" t="s">
        <v>207</v>
      </c>
      <c r="K147" s="0" t="n">
        <v>0.266</v>
      </c>
      <c r="L147" s="0" t="s">
        <v>148</v>
      </c>
      <c r="M147" s="0" t="n">
        <v>0</v>
      </c>
    </row>
    <row r="148" customFormat="false" ht="15" hidden="false" customHeight="false" outlineLevel="0" collapsed="false">
      <c r="A148" s="0" t="n">
        <v>10</v>
      </c>
      <c r="B148" s="0" t="s">
        <v>459</v>
      </c>
      <c r="C148" s="0" t="s">
        <v>460</v>
      </c>
      <c r="D148" s="0" t="s">
        <v>158</v>
      </c>
      <c r="E148" s="0" t="s">
        <v>118</v>
      </c>
      <c r="F148" s="0" t="n">
        <v>0</v>
      </c>
      <c r="G148" s="0" t="s">
        <v>204</v>
      </c>
      <c r="H148" s="0" t="s">
        <v>205</v>
      </c>
      <c r="I148" s="0" t="s">
        <v>206</v>
      </c>
      <c r="J148" s="0" t="s">
        <v>207</v>
      </c>
      <c r="K148" s="0" t="n">
        <v>0.525</v>
      </c>
      <c r="L148" s="0" t="s">
        <v>148</v>
      </c>
      <c r="M148" s="0" t="n">
        <v>0</v>
      </c>
    </row>
    <row r="149" customFormat="false" ht="15" hidden="false" customHeight="false" outlineLevel="0" collapsed="false">
      <c r="A149" s="0" t="n">
        <v>10</v>
      </c>
      <c r="B149" s="0" t="s">
        <v>461</v>
      </c>
      <c r="C149" s="0" t="s">
        <v>462</v>
      </c>
      <c r="D149" s="0" t="s">
        <v>158</v>
      </c>
      <c r="E149" s="0" t="s">
        <v>118</v>
      </c>
      <c r="F149" s="0" t="n">
        <v>0</v>
      </c>
      <c r="G149" s="0" t="s">
        <v>204</v>
      </c>
      <c r="H149" s="0" t="s">
        <v>205</v>
      </c>
      <c r="I149" s="0" t="s">
        <v>206</v>
      </c>
      <c r="J149" s="0" t="s">
        <v>207</v>
      </c>
      <c r="K149" s="0" t="n">
        <v>0.761</v>
      </c>
      <c r="L149" s="0" t="s">
        <v>208</v>
      </c>
      <c r="M149" s="0" t="n">
        <v>1</v>
      </c>
    </row>
    <row r="150" customFormat="false" ht="15" hidden="false" customHeight="false" outlineLevel="0" collapsed="false">
      <c r="A150" s="0" t="n">
        <v>10</v>
      </c>
      <c r="B150" s="0" t="s">
        <v>463</v>
      </c>
      <c r="C150" s="0" t="s">
        <v>464</v>
      </c>
      <c r="D150" s="0" t="s">
        <v>158</v>
      </c>
      <c r="E150" s="0" t="s">
        <v>118</v>
      </c>
      <c r="F150" s="0" t="n">
        <v>0</v>
      </c>
      <c r="G150" s="0" t="s">
        <v>204</v>
      </c>
      <c r="H150" s="0" t="s">
        <v>205</v>
      </c>
      <c r="I150" s="0" t="s">
        <v>206</v>
      </c>
      <c r="J150" s="0" t="s">
        <v>207</v>
      </c>
      <c r="K150" s="0" t="n">
        <v>0.344</v>
      </c>
      <c r="L150" s="0" t="s">
        <v>147</v>
      </c>
      <c r="M150" s="0" t="n">
        <v>0</v>
      </c>
    </row>
    <row r="151" customFormat="false" ht="15" hidden="false" customHeight="false" outlineLevel="0" collapsed="false">
      <c r="A151" s="0" t="n">
        <v>10</v>
      </c>
      <c r="B151" s="0" t="s">
        <v>465</v>
      </c>
      <c r="C151" s="0" t="s">
        <v>466</v>
      </c>
      <c r="D151" s="0" t="s">
        <v>158</v>
      </c>
      <c r="E151" s="0" t="s">
        <v>118</v>
      </c>
      <c r="F151" s="0" t="n">
        <v>0</v>
      </c>
      <c r="G151" s="0" t="s">
        <v>204</v>
      </c>
      <c r="H151" s="0" t="s">
        <v>205</v>
      </c>
      <c r="I151" s="0" t="s">
        <v>206</v>
      </c>
      <c r="J151" s="0" t="s">
        <v>207</v>
      </c>
      <c r="K151" s="0" t="n">
        <v>0.366</v>
      </c>
      <c r="L151" s="0" t="s">
        <v>208</v>
      </c>
      <c r="M151" s="0" t="n">
        <v>1</v>
      </c>
    </row>
    <row r="152" customFormat="false" ht="15" hidden="false" customHeight="false" outlineLevel="0" collapsed="false">
      <c r="A152" s="0" t="n">
        <v>10</v>
      </c>
      <c r="B152" s="0" t="s">
        <v>467</v>
      </c>
      <c r="C152" s="0" t="s">
        <v>468</v>
      </c>
      <c r="D152" s="0" t="s">
        <v>158</v>
      </c>
      <c r="E152" s="0" t="s">
        <v>118</v>
      </c>
      <c r="F152" s="0" t="n">
        <v>0</v>
      </c>
      <c r="G152" s="0" t="s">
        <v>204</v>
      </c>
      <c r="H152" s="0" t="s">
        <v>205</v>
      </c>
      <c r="I152" s="0" t="s">
        <v>206</v>
      </c>
      <c r="J152" s="0" t="s">
        <v>207</v>
      </c>
      <c r="K152" s="0" t="n">
        <v>0.843</v>
      </c>
      <c r="L152" s="0" t="s">
        <v>148</v>
      </c>
      <c r="M152" s="0" t="n">
        <v>0</v>
      </c>
    </row>
    <row r="153" customFormat="false" ht="15" hidden="false" customHeight="false" outlineLevel="0" collapsed="false">
      <c r="A153" s="0" t="n">
        <v>10</v>
      </c>
      <c r="B153" s="0" t="s">
        <v>467</v>
      </c>
      <c r="C153" s="0" t="s">
        <v>468</v>
      </c>
      <c r="D153" s="0" t="s">
        <v>158</v>
      </c>
      <c r="E153" s="0" t="s">
        <v>118</v>
      </c>
      <c r="F153" s="0" t="n">
        <v>1</v>
      </c>
      <c r="G153" s="0" t="s">
        <v>247</v>
      </c>
      <c r="H153" s="0" t="s">
        <v>205</v>
      </c>
      <c r="I153" s="0" t="s">
        <v>248</v>
      </c>
      <c r="J153" s="0" t="s">
        <v>207</v>
      </c>
      <c r="K153" s="0" t="n">
        <v>0.514</v>
      </c>
      <c r="L153" s="0" t="s">
        <v>208</v>
      </c>
      <c r="M153" s="0" t="n">
        <v>1</v>
      </c>
    </row>
    <row r="154" customFormat="false" ht="15" hidden="false" customHeight="false" outlineLevel="0" collapsed="false">
      <c r="A154" s="0" t="n">
        <v>10</v>
      </c>
      <c r="B154" s="0" t="s">
        <v>469</v>
      </c>
      <c r="C154" s="0" t="s">
        <v>470</v>
      </c>
      <c r="D154" s="0" t="s">
        <v>158</v>
      </c>
      <c r="E154" s="0" t="s">
        <v>118</v>
      </c>
      <c r="F154" s="0" t="n">
        <v>0</v>
      </c>
      <c r="G154" s="0" t="s">
        <v>204</v>
      </c>
      <c r="H154" s="0" t="s">
        <v>205</v>
      </c>
      <c r="I154" s="0" t="s">
        <v>206</v>
      </c>
      <c r="J154" s="0" t="s">
        <v>207</v>
      </c>
      <c r="K154" s="0" t="n">
        <v>0.287</v>
      </c>
      <c r="L154" s="0" t="s">
        <v>208</v>
      </c>
      <c r="M154" s="0" t="n">
        <v>1</v>
      </c>
    </row>
    <row r="155" customFormat="false" ht="15" hidden="false" customHeight="false" outlineLevel="0" collapsed="false">
      <c r="A155" s="0" t="n">
        <v>10</v>
      </c>
      <c r="B155" s="0" t="s">
        <v>471</v>
      </c>
      <c r="C155" s="0" t="s">
        <v>472</v>
      </c>
      <c r="D155" s="0" t="s">
        <v>159</v>
      </c>
      <c r="E155" s="0" t="s">
        <v>118</v>
      </c>
      <c r="F155" s="0" t="n">
        <v>0</v>
      </c>
      <c r="G155" s="0" t="s">
        <v>204</v>
      </c>
      <c r="H155" s="0" t="s">
        <v>205</v>
      </c>
      <c r="I155" s="0" t="s">
        <v>206</v>
      </c>
      <c r="J155" s="0" t="s">
        <v>207</v>
      </c>
      <c r="K155" s="0" t="n">
        <v>0.37</v>
      </c>
      <c r="L155" s="0" t="s">
        <v>208</v>
      </c>
      <c r="M155" s="0" t="n">
        <v>1</v>
      </c>
    </row>
    <row r="156" customFormat="false" ht="15" hidden="false" customHeight="false" outlineLevel="0" collapsed="false">
      <c r="A156" s="0" t="n">
        <v>10</v>
      </c>
      <c r="B156" s="0" t="s">
        <v>473</v>
      </c>
      <c r="C156" s="0" t="s">
        <v>474</v>
      </c>
      <c r="D156" s="0" t="s">
        <v>159</v>
      </c>
      <c r="E156" s="0" t="s">
        <v>118</v>
      </c>
      <c r="F156" s="0" t="n">
        <v>0</v>
      </c>
      <c r="G156" s="0" t="s">
        <v>204</v>
      </c>
      <c r="H156" s="0" t="s">
        <v>205</v>
      </c>
      <c r="I156" s="0" t="s">
        <v>206</v>
      </c>
      <c r="J156" s="0" t="s">
        <v>207</v>
      </c>
      <c r="K156" s="0" t="n">
        <v>0.292</v>
      </c>
      <c r="L156" s="0" t="s">
        <v>208</v>
      </c>
      <c r="M156" s="0" t="n">
        <v>1</v>
      </c>
    </row>
    <row r="157" customFormat="false" ht="15" hidden="false" customHeight="false" outlineLevel="0" collapsed="false">
      <c r="A157" s="0" t="n">
        <v>10</v>
      </c>
      <c r="B157" s="0" t="s">
        <v>475</v>
      </c>
      <c r="C157" s="0" t="s">
        <v>476</v>
      </c>
      <c r="D157" s="0" t="s">
        <v>159</v>
      </c>
      <c r="E157" s="0" t="s">
        <v>118</v>
      </c>
      <c r="F157" s="0" t="n">
        <v>0</v>
      </c>
      <c r="G157" s="0" t="s">
        <v>204</v>
      </c>
      <c r="H157" s="0" t="s">
        <v>205</v>
      </c>
      <c r="I157" s="0" t="s">
        <v>206</v>
      </c>
      <c r="J157" s="0" t="s">
        <v>207</v>
      </c>
      <c r="K157" s="0" t="n">
        <v>0.3</v>
      </c>
      <c r="L157" s="0" t="s">
        <v>208</v>
      </c>
      <c r="M157" s="0" t="n">
        <v>1</v>
      </c>
    </row>
    <row r="158" customFormat="false" ht="15" hidden="false" customHeight="false" outlineLevel="0" collapsed="false">
      <c r="A158" s="0" t="n">
        <v>10</v>
      </c>
      <c r="B158" s="0" t="s">
        <v>477</v>
      </c>
      <c r="C158" s="0" t="s">
        <v>478</v>
      </c>
      <c r="D158" s="0" t="s">
        <v>159</v>
      </c>
      <c r="E158" s="0" t="s">
        <v>118</v>
      </c>
      <c r="F158" s="0" t="n">
        <v>0</v>
      </c>
      <c r="G158" s="0" t="s">
        <v>204</v>
      </c>
      <c r="H158" s="0" t="s">
        <v>205</v>
      </c>
      <c r="I158" s="0" t="s">
        <v>206</v>
      </c>
      <c r="J158" s="0" t="s">
        <v>207</v>
      </c>
      <c r="K158" s="0" t="n">
        <v>0.29</v>
      </c>
      <c r="L158" s="0" t="s">
        <v>208</v>
      </c>
      <c r="M158" s="0" t="n">
        <v>1</v>
      </c>
    </row>
    <row r="159" customFormat="false" ht="15" hidden="false" customHeight="false" outlineLevel="0" collapsed="false">
      <c r="A159" s="0" t="n">
        <v>10</v>
      </c>
      <c r="B159" s="0" t="s">
        <v>479</v>
      </c>
      <c r="C159" s="0" t="s">
        <v>480</v>
      </c>
      <c r="D159" s="0" t="s">
        <v>159</v>
      </c>
      <c r="E159" s="0" t="s">
        <v>118</v>
      </c>
      <c r="F159" s="0" t="n">
        <v>0</v>
      </c>
      <c r="G159" s="0" t="s">
        <v>204</v>
      </c>
      <c r="H159" s="0" t="s">
        <v>205</v>
      </c>
      <c r="I159" s="0" t="s">
        <v>206</v>
      </c>
      <c r="J159" s="0" t="s">
        <v>207</v>
      </c>
      <c r="K159" s="0" t="n">
        <v>0.615</v>
      </c>
      <c r="L159" s="0" t="s">
        <v>147</v>
      </c>
      <c r="M159" s="0" t="n">
        <v>0</v>
      </c>
    </row>
    <row r="160" customFormat="false" ht="15" hidden="false" customHeight="false" outlineLevel="0" collapsed="false">
      <c r="A160" s="0" t="n">
        <v>10</v>
      </c>
      <c r="B160" s="0" t="s">
        <v>481</v>
      </c>
      <c r="C160" s="0" t="s">
        <v>482</v>
      </c>
      <c r="D160" s="0" t="s">
        <v>160</v>
      </c>
      <c r="E160" s="0" t="s">
        <v>118</v>
      </c>
      <c r="F160" s="0" t="n">
        <v>0</v>
      </c>
      <c r="G160" s="0" t="s">
        <v>204</v>
      </c>
      <c r="H160" s="0" t="s">
        <v>205</v>
      </c>
      <c r="I160" s="0" t="s">
        <v>206</v>
      </c>
      <c r="J160" s="0" t="s">
        <v>207</v>
      </c>
      <c r="K160" s="0" t="n">
        <v>0.849</v>
      </c>
      <c r="L160" s="0" t="s">
        <v>148</v>
      </c>
      <c r="M160" s="0" t="n">
        <v>0</v>
      </c>
    </row>
    <row r="161" customFormat="false" ht="15" hidden="false" customHeight="false" outlineLevel="0" collapsed="false">
      <c r="A161" s="0" t="n">
        <v>10</v>
      </c>
      <c r="B161" s="0" t="s">
        <v>481</v>
      </c>
      <c r="C161" s="0" t="s">
        <v>482</v>
      </c>
      <c r="D161" s="0" t="s">
        <v>160</v>
      </c>
      <c r="E161" s="0" t="s">
        <v>118</v>
      </c>
      <c r="F161" s="0" t="n">
        <v>1</v>
      </c>
      <c r="G161" s="0" t="s">
        <v>247</v>
      </c>
      <c r="H161" s="0" t="s">
        <v>205</v>
      </c>
      <c r="I161" s="0" t="s">
        <v>248</v>
      </c>
      <c r="J161" s="0" t="s">
        <v>207</v>
      </c>
      <c r="K161" s="0" t="n">
        <v>0.696</v>
      </c>
      <c r="L161" s="0" t="s">
        <v>208</v>
      </c>
      <c r="M161" s="0" t="n">
        <v>1</v>
      </c>
    </row>
    <row r="162" customFormat="false" ht="15" hidden="false" customHeight="false" outlineLevel="0" collapsed="false">
      <c r="A162" s="0" t="n">
        <v>10</v>
      </c>
      <c r="B162" s="0" t="s">
        <v>483</v>
      </c>
      <c r="C162" s="0" t="s">
        <v>484</v>
      </c>
      <c r="D162" s="0" t="s">
        <v>160</v>
      </c>
      <c r="E162" s="0" t="s">
        <v>118</v>
      </c>
      <c r="F162" s="0" t="n">
        <v>0</v>
      </c>
      <c r="G162" s="0" t="s">
        <v>204</v>
      </c>
      <c r="H162" s="0" t="s">
        <v>205</v>
      </c>
      <c r="I162" s="0" t="s">
        <v>206</v>
      </c>
      <c r="J162" s="0" t="s">
        <v>207</v>
      </c>
      <c r="K162" s="0" t="n">
        <v>0.864</v>
      </c>
      <c r="L162" s="0" t="s">
        <v>208</v>
      </c>
      <c r="M162" s="0" t="n">
        <v>1</v>
      </c>
    </row>
    <row r="163" customFormat="false" ht="15" hidden="false" customHeight="false" outlineLevel="0" collapsed="false">
      <c r="A163" s="0" t="n">
        <v>10</v>
      </c>
      <c r="B163" s="0" t="s">
        <v>485</v>
      </c>
      <c r="C163" s="0" t="s">
        <v>486</v>
      </c>
      <c r="D163" s="0" t="s">
        <v>160</v>
      </c>
      <c r="E163" s="0" t="s">
        <v>118</v>
      </c>
      <c r="F163" s="0" t="n">
        <v>0</v>
      </c>
      <c r="G163" s="0" t="s">
        <v>204</v>
      </c>
      <c r="H163" s="0" t="s">
        <v>205</v>
      </c>
      <c r="I163" s="0" t="s">
        <v>206</v>
      </c>
      <c r="J163" s="0" t="s">
        <v>207</v>
      </c>
      <c r="K163" s="0" t="n">
        <v>0.892</v>
      </c>
      <c r="L163" s="0" t="s">
        <v>208</v>
      </c>
      <c r="M163" s="0" t="n">
        <v>1</v>
      </c>
    </row>
    <row r="164" customFormat="false" ht="15" hidden="false" customHeight="false" outlineLevel="0" collapsed="false">
      <c r="A164" s="0" t="n">
        <v>10</v>
      </c>
      <c r="B164" s="0" t="s">
        <v>487</v>
      </c>
      <c r="C164" s="0" t="s">
        <v>488</v>
      </c>
      <c r="D164" s="0" t="s">
        <v>160</v>
      </c>
      <c r="E164" s="0" t="s">
        <v>118</v>
      </c>
      <c r="F164" s="0" t="n">
        <v>0</v>
      </c>
      <c r="G164" s="0" t="s">
        <v>204</v>
      </c>
      <c r="H164" s="0" t="s">
        <v>205</v>
      </c>
      <c r="I164" s="0" t="s">
        <v>206</v>
      </c>
      <c r="J164" s="0" t="s">
        <v>207</v>
      </c>
      <c r="K164" s="0" t="n">
        <v>0.462</v>
      </c>
      <c r="L164" s="0" t="s">
        <v>147</v>
      </c>
      <c r="M164" s="0" t="n">
        <v>0</v>
      </c>
    </row>
    <row r="165" customFormat="false" ht="15" hidden="false" customHeight="false" outlineLevel="0" collapsed="false">
      <c r="A165" s="0" t="n">
        <v>10</v>
      </c>
      <c r="B165" s="0" t="s">
        <v>489</v>
      </c>
      <c r="C165" s="0" t="s">
        <v>490</v>
      </c>
      <c r="D165" s="0" t="s">
        <v>160</v>
      </c>
      <c r="E165" s="0" t="s">
        <v>118</v>
      </c>
      <c r="F165" s="0" t="n">
        <v>0</v>
      </c>
      <c r="G165" s="0" t="s">
        <v>204</v>
      </c>
      <c r="H165" s="0" t="s">
        <v>205</v>
      </c>
      <c r="I165" s="0" t="s">
        <v>206</v>
      </c>
      <c r="J165" s="0" t="s">
        <v>207</v>
      </c>
      <c r="K165" s="0" t="n">
        <v>0.409</v>
      </c>
      <c r="L165" s="0" t="s">
        <v>147</v>
      </c>
      <c r="M165" s="0" t="n">
        <v>0</v>
      </c>
    </row>
    <row r="166" customFormat="false" ht="15" hidden="false" customHeight="false" outlineLevel="0" collapsed="false">
      <c r="A166" s="0" t="n">
        <v>10</v>
      </c>
      <c r="B166" s="0" t="s">
        <v>491</v>
      </c>
      <c r="C166" s="0" t="s">
        <v>492</v>
      </c>
      <c r="D166" s="0" t="s">
        <v>161</v>
      </c>
      <c r="E166" s="0" t="s">
        <v>118</v>
      </c>
      <c r="F166" s="0" t="n">
        <v>0</v>
      </c>
      <c r="G166" s="0" t="s">
        <v>204</v>
      </c>
      <c r="H166" s="0" t="s">
        <v>205</v>
      </c>
      <c r="I166" s="0" t="s">
        <v>206</v>
      </c>
      <c r="J166" s="0" t="s">
        <v>207</v>
      </c>
      <c r="K166" s="0" t="n">
        <v>0.787</v>
      </c>
      <c r="L166" s="0" t="s">
        <v>208</v>
      </c>
      <c r="M166" s="0" t="n">
        <v>1</v>
      </c>
    </row>
    <row r="167" customFormat="false" ht="15" hidden="false" customHeight="false" outlineLevel="0" collapsed="false">
      <c r="A167" s="0" t="n">
        <v>10</v>
      </c>
      <c r="B167" s="0" t="s">
        <v>493</v>
      </c>
      <c r="C167" s="0" t="s">
        <v>494</v>
      </c>
      <c r="D167" s="0" t="s">
        <v>161</v>
      </c>
      <c r="E167" s="0" t="s">
        <v>118</v>
      </c>
      <c r="F167" s="0" t="n">
        <v>0</v>
      </c>
      <c r="G167" s="0" t="s">
        <v>204</v>
      </c>
      <c r="H167" s="0" t="s">
        <v>205</v>
      </c>
      <c r="I167" s="0" t="s">
        <v>206</v>
      </c>
      <c r="J167" s="0" t="s">
        <v>207</v>
      </c>
      <c r="K167" s="0" t="n">
        <v>0.358</v>
      </c>
      <c r="L167" s="0" t="s">
        <v>208</v>
      </c>
      <c r="M167" s="0" t="n">
        <v>1</v>
      </c>
    </row>
    <row r="168" customFormat="false" ht="15" hidden="false" customHeight="false" outlineLevel="0" collapsed="false">
      <c r="A168" s="0" t="n">
        <v>10</v>
      </c>
      <c r="B168" s="0" t="s">
        <v>495</v>
      </c>
      <c r="C168" s="0" t="s">
        <v>496</v>
      </c>
      <c r="D168" s="0" t="s">
        <v>161</v>
      </c>
      <c r="E168" s="0" t="s">
        <v>118</v>
      </c>
      <c r="F168" s="0" t="n">
        <v>0</v>
      </c>
      <c r="G168" s="0" t="s">
        <v>204</v>
      </c>
      <c r="H168" s="0" t="s">
        <v>205</v>
      </c>
      <c r="I168" s="0" t="s">
        <v>206</v>
      </c>
      <c r="J168" s="0" t="s">
        <v>207</v>
      </c>
      <c r="K168" s="0" t="n">
        <v>0.262</v>
      </c>
      <c r="L168" s="0" t="s">
        <v>147</v>
      </c>
      <c r="M168" s="0" t="n">
        <v>0</v>
      </c>
    </row>
    <row r="169" customFormat="false" ht="15" hidden="false" customHeight="false" outlineLevel="0" collapsed="false">
      <c r="A169" s="0" t="n">
        <v>10</v>
      </c>
      <c r="B169" s="0" t="s">
        <v>497</v>
      </c>
      <c r="C169" s="0" t="s">
        <v>498</v>
      </c>
      <c r="D169" s="0" t="s">
        <v>161</v>
      </c>
      <c r="E169" s="0" t="s">
        <v>118</v>
      </c>
      <c r="F169" s="0" t="n">
        <v>0</v>
      </c>
      <c r="G169" s="0" t="s">
        <v>204</v>
      </c>
      <c r="H169" s="0" t="s">
        <v>205</v>
      </c>
      <c r="I169" s="0" t="s">
        <v>206</v>
      </c>
      <c r="J169" s="0" t="s">
        <v>207</v>
      </c>
      <c r="K169" s="0" t="n">
        <v>0.649</v>
      </c>
      <c r="L169" s="0" t="s">
        <v>148</v>
      </c>
      <c r="M169" s="0" t="n">
        <v>0</v>
      </c>
    </row>
    <row r="170" customFormat="false" ht="15" hidden="false" customHeight="false" outlineLevel="0" collapsed="false">
      <c r="A170" s="0" t="n">
        <v>10</v>
      </c>
      <c r="B170" s="0" t="s">
        <v>499</v>
      </c>
      <c r="C170" s="0" t="s">
        <v>500</v>
      </c>
      <c r="D170" s="0" t="s">
        <v>161</v>
      </c>
      <c r="E170" s="0" t="s">
        <v>118</v>
      </c>
      <c r="F170" s="0" t="n">
        <v>0</v>
      </c>
      <c r="G170" s="0" t="s">
        <v>204</v>
      </c>
      <c r="H170" s="0" t="s">
        <v>205</v>
      </c>
      <c r="I170" s="0" t="s">
        <v>206</v>
      </c>
      <c r="J170" s="0" t="s">
        <v>207</v>
      </c>
      <c r="K170" s="0" t="n">
        <v>0.797</v>
      </c>
      <c r="L170" s="0" t="s">
        <v>208</v>
      </c>
      <c r="M170" s="0" t="n">
        <v>1</v>
      </c>
    </row>
    <row r="171" customFormat="false" ht="15" hidden="false" customHeight="false" outlineLevel="0" collapsed="false">
      <c r="A171" s="0" t="n">
        <v>10</v>
      </c>
      <c r="B171" s="0" t="s">
        <v>501</v>
      </c>
      <c r="C171" s="0" t="s">
        <v>502</v>
      </c>
      <c r="D171" s="0" t="s">
        <v>162</v>
      </c>
      <c r="E171" s="0" t="s">
        <v>118</v>
      </c>
      <c r="F171" s="0" t="n">
        <v>0</v>
      </c>
      <c r="G171" s="0" t="s">
        <v>204</v>
      </c>
      <c r="H171" s="0" t="s">
        <v>205</v>
      </c>
      <c r="I171" s="0" t="s">
        <v>206</v>
      </c>
      <c r="J171" s="0" t="s">
        <v>207</v>
      </c>
      <c r="K171" s="0" t="n">
        <v>0.602</v>
      </c>
      <c r="L171" s="0" t="s">
        <v>208</v>
      </c>
      <c r="M171" s="0" t="n">
        <v>1</v>
      </c>
    </row>
    <row r="172" customFormat="false" ht="15" hidden="false" customHeight="false" outlineLevel="0" collapsed="false">
      <c r="A172" s="0" t="n">
        <v>10</v>
      </c>
      <c r="B172" s="0" t="s">
        <v>503</v>
      </c>
      <c r="C172" s="0" t="s">
        <v>504</v>
      </c>
      <c r="D172" s="0" t="s">
        <v>162</v>
      </c>
      <c r="E172" s="0" t="s">
        <v>118</v>
      </c>
      <c r="F172" s="0" t="n">
        <v>0</v>
      </c>
      <c r="G172" s="0" t="s">
        <v>204</v>
      </c>
      <c r="H172" s="0" t="s">
        <v>205</v>
      </c>
      <c r="I172" s="0" t="s">
        <v>206</v>
      </c>
      <c r="J172" s="0" t="s">
        <v>207</v>
      </c>
      <c r="K172" s="0" t="n">
        <v>0.298</v>
      </c>
      <c r="L172" s="0" t="s">
        <v>147</v>
      </c>
      <c r="M172" s="0" t="n">
        <v>0</v>
      </c>
    </row>
    <row r="173" customFormat="false" ht="15" hidden="false" customHeight="false" outlineLevel="0" collapsed="false">
      <c r="A173" s="0" t="n">
        <v>10</v>
      </c>
      <c r="B173" s="0" t="s">
        <v>503</v>
      </c>
      <c r="C173" s="0" t="s">
        <v>504</v>
      </c>
      <c r="D173" s="0" t="s">
        <v>162</v>
      </c>
      <c r="E173" s="0" t="s">
        <v>118</v>
      </c>
      <c r="F173" s="0" t="n">
        <v>1</v>
      </c>
      <c r="G173" s="0" t="s">
        <v>247</v>
      </c>
      <c r="H173" s="0" t="s">
        <v>205</v>
      </c>
      <c r="I173" s="0" t="s">
        <v>248</v>
      </c>
      <c r="J173" s="0" t="s">
        <v>207</v>
      </c>
      <c r="K173" s="0" t="n">
        <v>0.254</v>
      </c>
      <c r="L173" s="0" t="s">
        <v>147</v>
      </c>
      <c r="M173" s="0" t="n">
        <v>0</v>
      </c>
    </row>
    <row r="174" customFormat="false" ht="15" hidden="false" customHeight="false" outlineLevel="0" collapsed="false">
      <c r="A174" s="0" t="n">
        <v>10</v>
      </c>
      <c r="B174" s="0" t="s">
        <v>505</v>
      </c>
      <c r="C174" s="0" t="s">
        <v>506</v>
      </c>
      <c r="D174" s="0" t="s">
        <v>162</v>
      </c>
      <c r="E174" s="0" t="s">
        <v>118</v>
      </c>
      <c r="F174" s="0" t="n">
        <v>0</v>
      </c>
      <c r="G174" s="0" t="s">
        <v>204</v>
      </c>
      <c r="H174" s="0" t="s">
        <v>205</v>
      </c>
      <c r="I174" s="0" t="s">
        <v>206</v>
      </c>
      <c r="J174" s="0" t="s">
        <v>207</v>
      </c>
      <c r="K174" s="0" t="n">
        <v>0.766</v>
      </c>
      <c r="L174" s="0" t="s">
        <v>208</v>
      </c>
      <c r="M174" s="0" t="n">
        <v>1</v>
      </c>
    </row>
    <row r="175" customFormat="false" ht="15" hidden="false" customHeight="false" outlineLevel="0" collapsed="false">
      <c r="A175" s="0" t="n">
        <v>10</v>
      </c>
      <c r="B175" s="0" t="s">
        <v>505</v>
      </c>
      <c r="C175" s="0" t="s">
        <v>506</v>
      </c>
      <c r="D175" s="0" t="s">
        <v>162</v>
      </c>
      <c r="E175" s="0" t="s">
        <v>118</v>
      </c>
      <c r="F175" s="0" t="n">
        <v>1</v>
      </c>
      <c r="G175" s="0" t="s">
        <v>247</v>
      </c>
      <c r="H175" s="0" t="s">
        <v>205</v>
      </c>
      <c r="I175" s="0" t="s">
        <v>248</v>
      </c>
      <c r="J175" s="0" t="s">
        <v>207</v>
      </c>
      <c r="K175" s="0" t="n">
        <v>0.312</v>
      </c>
      <c r="L175" s="0" t="s">
        <v>147</v>
      </c>
      <c r="M175" s="0" t="n">
        <v>0</v>
      </c>
    </row>
    <row r="176" customFormat="false" ht="15" hidden="false" customHeight="false" outlineLevel="0" collapsed="false">
      <c r="A176" s="0" t="n">
        <v>10</v>
      </c>
      <c r="B176" s="0" t="s">
        <v>507</v>
      </c>
      <c r="C176" s="0" t="s">
        <v>508</v>
      </c>
      <c r="D176" s="0" t="s">
        <v>162</v>
      </c>
      <c r="E176" s="0" t="s">
        <v>118</v>
      </c>
      <c r="F176" s="0" t="n">
        <v>0</v>
      </c>
      <c r="G176" s="0" t="s">
        <v>204</v>
      </c>
      <c r="H176" s="0" t="s">
        <v>205</v>
      </c>
      <c r="I176" s="0" t="s">
        <v>206</v>
      </c>
      <c r="J176" s="0" t="s">
        <v>207</v>
      </c>
      <c r="K176" s="0" t="n">
        <v>0.876</v>
      </c>
      <c r="L176" s="0" t="s">
        <v>147</v>
      </c>
      <c r="M176" s="0" t="n">
        <v>0</v>
      </c>
    </row>
    <row r="177" customFormat="false" ht="15" hidden="false" customHeight="false" outlineLevel="0" collapsed="false">
      <c r="A177" s="0" t="n">
        <v>10</v>
      </c>
      <c r="B177" s="0" t="s">
        <v>509</v>
      </c>
      <c r="C177" s="0" t="s">
        <v>510</v>
      </c>
      <c r="D177" s="0" t="s">
        <v>162</v>
      </c>
      <c r="E177" s="0" t="s">
        <v>118</v>
      </c>
      <c r="F177" s="0" t="n">
        <v>0</v>
      </c>
      <c r="G177" s="0" t="s">
        <v>204</v>
      </c>
      <c r="H177" s="0" t="s">
        <v>205</v>
      </c>
      <c r="I177" s="0" t="s">
        <v>206</v>
      </c>
      <c r="J177" s="0" t="s">
        <v>207</v>
      </c>
      <c r="K177" s="0" t="n">
        <v>0.361</v>
      </c>
      <c r="L177" s="0" t="s">
        <v>208</v>
      </c>
      <c r="M177" s="0" t="n">
        <v>1</v>
      </c>
    </row>
    <row r="178" customFormat="false" ht="15" hidden="false" customHeight="false" outlineLevel="0" collapsed="false">
      <c r="A178" s="0" t="n">
        <v>10</v>
      </c>
      <c r="B178" s="0" t="s">
        <v>511</v>
      </c>
      <c r="C178" s="0" t="s">
        <v>512</v>
      </c>
      <c r="D178" s="0" t="s">
        <v>162</v>
      </c>
      <c r="E178" s="0" t="s">
        <v>118</v>
      </c>
      <c r="F178" s="0" t="n">
        <v>0</v>
      </c>
      <c r="G178" s="0" t="s">
        <v>204</v>
      </c>
      <c r="H178" s="0" t="s">
        <v>205</v>
      </c>
      <c r="I178" s="0" t="s">
        <v>206</v>
      </c>
      <c r="J178" s="0" t="s">
        <v>207</v>
      </c>
      <c r="K178" s="0" t="n">
        <v>0.855</v>
      </c>
      <c r="L178" s="0" t="s">
        <v>147</v>
      </c>
      <c r="M178" s="0" t="n">
        <v>0</v>
      </c>
    </row>
    <row r="179" customFormat="false" ht="15" hidden="false" customHeight="false" outlineLevel="0" collapsed="false">
      <c r="A179" s="0" t="n">
        <v>10</v>
      </c>
      <c r="B179" s="0" t="s">
        <v>513</v>
      </c>
      <c r="C179" s="0" t="s">
        <v>514</v>
      </c>
      <c r="D179" s="0" t="s">
        <v>162</v>
      </c>
      <c r="E179" s="0" t="s">
        <v>118</v>
      </c>
      <c r="F179" s="0" t="n">
        <v>0</v>
      </c>
      <c r="G179" s="0" t="s">
        <v>204</v>
      </c>
      <c r="H179" s="0" t="s">
        <v>205</v>
      </c>
      <c r="I179" s="0" t="s">
        <v>206</v>
      </c>
      <c r="J179" s="0" t="s">
        <v>207</v>
      </c>
      <c r="K179" s="0" t="n">
        <v>0.546</v>
      </c>
      <c r="L179" s="0" t="s">
        <v>147</v>
      </c>
      <c r="M179" s="0" t="n">
        <v>0</v>
      </c>
    </row>
    <row r="180" customFormat="false" ht="15" hidden="false" customHeight="false" outlineLevel="0" collapsed="false">
      <c r="A180" s="0" t="n">
        <v>10</v>
      </c>
      <c r="B180" s="0" t="s">
        <v>515</v>
      </c>
      <c r="C180" s="0" t="s">
        <v>516</v>
      </c>
      <c r="D180" s="0" t="s">
        <v>162</v>
      </c>
      <c r="E180" s="0" t="s">
        <v>118</v>
      </c>
      <c r="F180" s="0" t="n">
        <v>0</v>
      </c>
      <c r="G180" s="0" t="s">
        <v>204</v>
      </c>
      <c r="H180" s="0" t="s">
        <v>205</v>
      </c>
      <c r="I180" s="0" t="s">
        <v>206</v>
      </c>
      <c r="J180" s="0" t="s">
        <v>207</v>
      </c>
      <c r="K180" s="0" t="n">
        <v>0.899</v>
      </c>
      <c r="L180" s="0" t="s">
        <v>208</v>
      </c>
      <c r="M180" s="0" t="n">
        <v>1</v>
      </c>
    </row>
    <row r="181" customFormat="false" ht="15" hidden="false" customHeight="false" outlineLevel="0" collapsed="false">
      <c r="A181" s="0" t="n">
        <v>10</v>
      </c>
      <c r="B181" s="0" t="s">
        <v>517</v>
      </c>
      <c r="C181" s="0" t="s">
        <v>518</v>
      </c>
      <c r="D181" s="0" t="s">
        <v>162</v>
      </c>
      <c r="E181" s="0" t="s">
        <v>118</v>
      </c>
      <c r="F181" s="0" t="n">
        <v>0</v>
      </c>
      <c r="G181" s="0" t="s">
        <v>204</v>
      </c>
      <c r="H181" s="0" t="s">
        <v>205</v>
      </c>
      <c r="I181" s="0" t="s">
        <v>206</v>
      </c>
      <c r="J181" s="0" t="s">
        <v>207</v>
      </c>
      <c r="K181" s="0" t="n">
        <v>0.651</v>
      </c>
      <c r="L181" s="0" t="s">
        <v>148</v>
      </c>
      <c r="M181" s="0" t="n">
        <v>0</v>
      </c>
    </row>
    <row r="182" customFormat="false" ht="15" hidden="false" customHeight="false" outlineLevel="0" collapsed="false">
      <c r="A182" s="0" t="n">
        <v>10</v>
      </c>
      <c r="B182" s="0" t="s">
        <v>519</v>
      </c>
      <c r="C182" s="0" t="s">
        <v>520</v>
      </c>
      <c r="D182" s="0" t="s">
        <v>163</v>
      </c>
      <c r="E182" s="0" t="s">
        <v>118</v>
      </c>
      <c r="F182" s="0" t="n">
        <v>0</v>
      </c>
      <c r="G182" s="0" t="s">
        <v>204</v>
      </c>
      <c r="H182" s="0" t="s">
        <v>205</v>
      </c>
      <c r="I182" s="0" t="s">
        <v>206</v>
      </c>
      <c r="J182" s="0" t="s">
        <v>207</v>
      </c>
      <c r="K182" s="0" t="n">
        <v>0.837</v>
      </c>
      <c r="L182" s="0" t="s">
        <v>208</v>
      </c>
      <c r="M182" s="0" t="n">
        <v>1</v>
      </c>
    </row>
    <row r="183" customFormat="false" ht="15" hidden="false" customHeight="false" outlineLevel="0" collapsed="false">
      <c r="A183" s="0" t="n">
        <v>10</v>
      </c>
      <c r="B183" s="0" t="s">
        <v>521</v>
      </c>
      <c r="C183" s="0" t="s">
        <v>522</v>
      </c>
      <c r="D183" s="0" t="s">
        <v>163</v>
      </c>
      <c r="E183" s="0" t="s">
        <v>118</v>
      </c>
      <c r="F183" s="0" t="n">
        <v>0</v>
      </c>
      <c r="G183" s="0" t="s">
        <v>204</v>
      </c>
      <c r="H183" s="0" t="s">
        <v>205</v>
      </c>
      <c r="I183" s="0" t="s">
        <v>206</v>
      </c>
      <c r="J183" s="0" t="s">
        <v>207</v>
      </c>
      <c r="K183" s="0" t="n">
        <v>0.894</v>
      </c>
      <c r="L183" s="0" t="s">
        <v>148</v>
      </c>
      <c r="M183" s="0" t="n">
        <v>0</v>
      </c>
    </row>
    <row r="184" customFormat="false" ht="15" hidden="false" customHeight="false" outlineLevel="0" collapsed="false">
      <c r="A184" s="0" t="n">
        <v>10</v>
      </c>
      <c r="B184" s="0" t="s">
        <v>523</v>
      </c>
      <c r="C184" s="0" t="s">
        <v>524</v>
      </c>
      <c r="D184" s="0" t="s">
        <v>163</v>
      </c>
      <c r="E184" s="0" t="s">
        <v>118</v>
      </c>
      <c r="F184" s="0" t="n">
        <v>0</v>
      </c>
      <c r="G184" s="0" t="s">
        <v>204</v>
      </c>
      <c r="H184" s="0" t="s">
        <v>205</v>
      </c>
      <c r="I184" s="0" t="s">
        <v>206</v>
      </c>
      <c r="J184" s="0" t="s">
        <v>207</v>
      </c>
      <c r="K184" s="0" t="n">
        <v>0.463</v>
      </c>
      <c r="L184" s="0" t="s">
        <v>208</v>
      </c>
      <c r="M184" s="0" t="n">
        <v>1</v>
      </c>
    </row>
    <row r="185" customFormat="false" ht="15" hidden="false" customHeight="false" outlineLevel="0" collapsed="false">
      <c r="A185" s="0" t="n">
        <v>10</v>
      </c>
      <c r="B185" s="0" t="s">
        <v>523</v>
      </c>
      <c r="C185" s="0" t="s">
        <v>524</v>
      </c>
      <c r="D185" s="0" t="s">
        <v>163</v>
      </c>
      <c r="E185" s="0" t="s">
        <v>118</v>
      </c>
      <c r="F185" s="0" t="n">
        <v>1</v>
      </c>
      <c r="G185" s="0" t="s">
        <v>247</v>
      </c>
      <c r="H185" s="0" t="s">
        <v>205</v>
      </c>
      <c r="I185" s="0" t="s">
        <v>248</v>
      </c>
      <c r="J185" s="0" t="s">
        <v>207</v>
      </c>
      <c r="K185" s="0" t="n">
        <v>0.629</v>
      </c>
      <c r="L185" s="0" t="s">
        <v>208</v>
      </c>
      <c r="M185" s="0" t="n">
        <v>1</v>
      </c>
    </row>
    <row r="186" customFormat="false" ht="15" hidden="false" customHeight="false" outlineLevel="0" collapsed="false">
      <c r="A186" s="0" t="n">
        <v>10</v>
      </c>
      <c r="B186" s="0" t="s">
        <v>525</v>
      </c>
      <c r="C186" s="0" t="s">
        <v>526</v>
      </c>
      <c r="D186" s="0" t="s">
        <v>163</v>
      </c>
      <c r="E186" s="0" t="s">
        <v>118</v>
      </c>
      <c r="F186" s="0" t="n">
        <v>0</v>
      </c>
      <c r="G186" s="0" t="s">
        <v>204</v>
      </c>
      <c r="H186" s="0" t="s">
        <v>205</v>
      </c>
      <c r="I186" s="0" t="s">
        <v>206</v>
      </c>
      <c r="J186" s="0" t="s">
        <v>207</v>
      </c>
      <c r="K186" s="0" t="n">
        <v>0.437</v>
      </c>
      <c r="L186" s="0" t="s">
        <v>148</v>
      </c>
      <c r="M186" s="0" t="n">
        <v>0</v>
      </c>
    </row>
    <row r="187" customFormat="false" ht="15" hidden="false" customHeight="false" outlineLevel="0" collapsed="false">
      <c r="A187" s="0" t="n">
        <v>10</v>
      </c>
      <c r="B187" s="0" t="s">
        <v>527</v>
      </c>
      <c r="C187" s="0" t="s">
        <v>528</v>
      </c>
      <c r="D187" s="0" t="s">
        <v>163</v>
      </c>
      <c r="E187" s="0" t="s">
        <v>118</v>
      </c>
      <c r="F187" s="0" t="n">
        <v>0</v>
      </c>
      <c r="G187" s="0" t="s">
        <v>204</v>
      </c>
      <c r="H187" s="0" t="s">
        <v>205</v>
      </c>
      <c r="I187" s="0" t="s">
        <v>206</v>
      </c>
      <c r="J187" s="0" t="s">
        <v>207</v>
      </c>
      <c r="K187" s="0" t="n">
        <v>0.648</v>
      </c>
      <c r="L187" s="0" t="s">
        <v>147</v>
      </c>
      <c r="M187" s="0" t="n">
        <v>0</v>
      </c>
    </row>
    <row r="188" customFormat="false" ht="15" hidden="false" customHeight="false" outlineLevel="0" collapsed="false">
      <c r="A188" s="0" t="n">
        <v>10</v>
      </c>
      <c r="B188" s="0" t="s">
        <v>529</v>
      </c>
      <c r="C188" s="0" t="s">
        <v>530</v>
      </c>
      <c r="D188" s="0" t="s">
        <v>163</v>
      </c>
      <c r="E188" s="0" t="s">
        <v>118</v>
      </c>
      <c r="F188" s="0" t="n">
        <v>0</v>
      </c>
      <c r="G188" s="0" t="s">
        <v>204</v>
      </c>
      <c r="H188" s="0" t="s">
        <v>205</v>
      </c>
      <c r="I188" s="0" t="s">
        <v>206</v>
      </c>
      <c r="J188" s="0" t="s">
        <v>207</v>
      </c>
      <c r="K188" s="0" t="n">
        <v>0.372</v>
      </c>
      <c r="L188" s="0" t="s">
        <v>208</v>
      </c>
      <c r="M188" s="0" t="n">
        <v>1</v>
      </c>
    </row>
    <row r="189" customFormat="false" ht="15" hidden="false" customHeight="false" outlineLevel="0" collapsed="false">
      <c r="A189" s="0" t="n">
        <v>10</v>
      </c>
      <c r="B189" s="0" t="s">
        <v>529</v>
      </c>
      <c r="C189" s="0" t="s">
        <v>530</v>
      </c>
      <c r="D189" s="0" t="s">
        <v>163</v>
      </c>
      <c r="E189" s="0" t="s">
        <v>118</v>
      </c>
      <c r="F189" s="0" t="n">
        <v>1</v>
      </c>
      <c r="G189" s="0" t="s">
        <v>247</v>
      </c>
      <c r="H189" s="0" t="s">
        <v>205</v>
      </c>
      <c r="I189" s="0" t="s">
        <v>248</v>
      </c>
      <c r="J189" s="0" t="s">
        <v>207</v>
      </c>
      <c r="K189" s="0" t="n">
        <v>0.785</v>
      </c>
      <c r="L189" s="0" t="s">
        <v>147</v>
      </c>
      <c r="M189" s="0" t="n">
        <v>0</v>
      </c>
    </row>
    <row r="190" customFormat="false" ht="15" hidden="false" customHeight="false" outlineLevel="0" collapsed="false">
      <c r="A190" s="0" t="n">
        <v>10</v>
      </c>
      <c r="B190" s="0" t="s">
        <v>531</v>
      </c>
      <c r="C190" s="0" t="s">
        <v>532</v>
      </c>
      <c r="D190" s="0" t="s">
        <v>163</v>
      </c>
      <c r="E190" s="0" t="s">
        <v>118</v>
      </c>
      <c r="F190" s="0" t="n">
        <v>0</v>
      </c>
      <c r="G190" s="0" t="s">
        <v>204</v>
      </c>
      <c r="H190" s="0" t="s">
        <v>205</v>
      </c>
      <c r="I190" s="0" t="s">
        <v>206</v>
      </c>
      <c r="J190" s="0" t="s">
        <v>207</v>
      </c>
      <c r="K190" s="0" t="n">
        <v>0.523</v>
      </c>
      <c r="L190" s="0" t="s">
        <v>148</v>
      </c>
      <c r="M190" s="0" t="n">
        <v>0</v>
      </c>
    </row>
    <row r="191" customFormat="false" ht="15" hidden="false" customHeight="false" outlineLevel="0" collapsed="false">
      <c r="A191" s="0" t="n">
        <v>10</v>
      </c>
      <c r="B191" s="0" t="s">
        <v>533</v>
      </c>
      <c r="C191" s="0" t="s">
        <v>534</v>
      </c>
      <c r="D191" s="0" t="s">
        <v>163</v>
      </c>
      <c r="E191" s="0" t="s">
        <v>118</v>
      </c>
      <c r="F191" s="0" t="n">
        <v>0</v>
      </c>
      <c r="G191" s="0" t="s">
        <v>204</v>
      </c>
      <c r="H191" s="0" t="s">
        <v>205</v>
      </c>
      <c r="I191" s="0" t="s">
        <v>206</v>
      </c>
      <c r="J191" s="0" t="s">
        <v>207</v>
      </c>
      <c r="K191" s="0" t="n">
        <v>0.648</v>
      </c>
      <c r="L191" s="0" t="s">
        <v>208</v>
      </c>
      <c r="M191" s="0" t="n">
        <v>1</v>
      </c>
    </row>
    <row r="192" customFormat="false" ht="15" hidden="false" customHeight="false" outlineLevel="0" collapsed="false">
      <c r="A192" s="0" t="n">
        <v>10</v>
      </c>
      <c r="B192" s="0" t="s">
        <v>535</v>
      </c>
      <c r="C192" s="0" t="s">
        <v>536</v>
      </c>
      <c r="D192" s="0" t="s">
        <v>163</v>
      </c>
      <c r="E192" s="0" t="s">
        <v>118</v>
      </c>
      <c r="F192" s="0" t="n">
        <v>0</v>
      </c>
      <c r="G192" s="0" t="s">
        <v>204</v>
      </c>
      <c r="H192" s="0" t="s">
        <v>205</v>
      </c>
      <c r="I192" s="0" t="s">
        <v>206</v>
      </c>
      <c r="J192" s="0" t="s">
        <v>207</v>
      </c>
      <c r="K192" s="0" t="n">
        <v>0.596</v>
      </c>
      <c r="L192" s="0" t="s">
        <v>208</v>
      </c>
      <c r="M192" s="0" t="n">
        <v>1</v>
      </c>
    </row>
    <row r="193" customFormat="false" ht="15" hidden="false" customHeight="false" outlineLevel="0" collapsed="false">
      <c r="A193" s="0" t="n">
        <v>10</v>
      </c>
      <c r="B193" s="0" t="s">
        <v>535</v>
      </c>
      <c r="C193" s="0" t="s">
        <v>536</v>
      </c>
      <c r="D193" s="0" t="s">
        <v>163</v>
      </c>
      <c r="E193" s="0" t="s">
        <v>118</v>
      </c>
      <c r="F193" s="0" t="n">
        <v>1</v>
      </c>
      <c r="G193" s="0" t="s">
        <v>247</v>
      </c>
      <c r="H193" s="0" t="s">
        <v>205</v>
      </c>
      <c r="I193" s="0" t="s">
        <v>248</v>
      </c>
      <c r="J193" s="0" t="s">
        <v>207</v>
      </c>
      <c r="K193" s="0" t="n">
        <v>0.88</v>
      </c>
      <c r="L193" s="0" t="s">
        <v>208</v>
      </c>
      <c r="M193" s="0" t="n">
        <v>1</v>
      </c>
    </row>
    <row r="194" customFormat="false" ht="15" hidden="false" customHeight="false" outlineLevel="0" collapsed="false">
      <c r="A194" s="0" t="n">
        <v>10</v>
      </c>
      <c r="B194" s="0" t="s">
        <v>537</v>
      </c>
      <c r="C194" s="0" t="s">
        <v>538</v>
      </c>
      <c r="D194" s="0" t="s">
        <v>164</v>
      </c>
      <c r="E194" s="0" t="s">
        <v>118</v>
      </c>
      <c r="F194" s="0" t="n">
        <v>0</v>
      </c>
      <c r="G194" s="0" t="s">
        <v>204</v>
      </c>
      <c r="H194" s="0" t="s">
        <v>205</v>
      </c>
      <c r="I194" s="0" t="s">
        <v>206</v>
      </c>
      <c r="J194" s="0" t="s">
        <v>207</v>
      </c>
      <c r="K194" s="0" t="n">
        <v>0.269</v>
      </c>
      <c r="L194" s="0" t="s">
        <v>208</v>
      </c>
      <c r="M194" s="0" t="n">
        <v>1</v>
      </c>
    </row>
    <row r="195" customFormat="false" ht="15" hidden="false" customHeight="false" outlineLevel="0" collapsed="false">
      <c r="A195" s="0" t="n">
        <v>10</v>
      </c>
      <c r="B195" s="0" t="s">
        <v>539</v>
      </c>
      <c r="C195" s="0" t="s">
        <v>540</v>
      </c>
      <c r="D195" s="0" t="s">
        <v>164</v>
      </c>
      <c r="E195" s="0" t="s">
        <v>118</v>
      </c>
      <c r="F195" s="0" t="n">
        <v>0</v>
      </c>
      <c r="G195" s="0" t="s">
        <v>204</v>
      </c>
      <c r="H195" s="0" t="s">
        <v>205</v>
      </c>
      <c r="I195" s="0" t="s">
        <v>206</v>
      </c>
      <c r="J195" s="0" t="s">
        <v>207</v>
      </c>
      <c r="K195" s="0" t="n">
        <v>0.389</v>
      </c>
      <c r="L195" s="0" t="s">
        <v>147</v>
      </c>
      <c r="M195" s="0" t="n">
        <v>0</v>
      </c>
    </row>
    <row r="196" customFormat="false" ht="15" hidden="false" customHeight="false" outlineLevel="0" collapsed="false">
      <c r="A196" s="0" t="n">
        <v>10</v>
      </c>
      <c r="B196" s="0" t="s">
        <v>541</v>
      </c>
      <c r="C196" s="0" t="s">
        <v>542</v>
      </c>
      <c r="D196" s="0" t="s">
        <v>164</v>
      </c>
      <c r="E196" s="0" t="s">
        <v>118</v>
      </c>
      <c r="F196" s="0" t="n">
        <v>0</v>
      </c>
      <c r="G196" s="0" t="s">
        <v>204</v>
      </c>
      <c r="H196" s="0" t="s">
        <v>205</v>
      </c>
      <c r="I196" s="0" t="s">
        <v>206</v>
      </c>
      <c r="J196" s="0" t="s">
        <v>207</v>
      </c>
      <c r="K196" s="0" t="n">
        <v>0.544</v>
      </c>
      <c r="L196" s="0" t="s">
        <v>208</v>
      </c>
      <c r="M196" s="0" t="n">
        <v>1</v>
      </c>
    </row>
  </sheetData>
  <autoFilter ref="A1:M19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2026-10-27T20:43:44Z</dcterms:created>
  <dc:creator>openpyxl</dc:creator>
  <dc:description/>
  <dc:language>en-US</dc:language>
  <cp:lastModifiedBy/>
  <dcterms:modified xsi:type="dcterms:W3CDTF">2026-10-27T20:43:44Z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